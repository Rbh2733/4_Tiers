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1 Mega-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FFFFFF"/>
      <sz val="12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2" fontId="6" fillId="7" borderId="0" pivotButton="0" quotePrefix="0" xfId="0"/>
    <xf numFmtId="0" fontId="7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0" customWidth="1" min="4" max="4"/>
    <col width="15" customWidth="1" min="5" max="5"/>
    <col width="65" customWidth="1" min="6" max="6"/>
  </cols>
  <sheetData>
    <row r="1">
      <c r="A1" s="1" t="inlineStr">
        <is>
          <t>TIER 1: MEGA-CAP CORE (&gt;$200B)</t>
        </is>
      </c>
    </row>
    <row r="2">
      <c r="A2" s="2" t="inlineStr">
        <is>
          <t>Minimum Score: 60 | Position Size: 8-12% | Risk: Lowest</t>
        </is>
      </c>
    </row>
    <row r="4">
      <c r="A4" s="3" t="inlineStr">
        <is>
          <t>STOCK INFORMATION</t>
        </is>
      </c>
    </row>
    <row r="5">
      <c r="A5" s="4" t="inlineStr">
        <is>
          <t>Ticker</t>
        </is>
      </c>
    </row>
    <row r="6">
      <c r="A6" s="4" t="inlineStr">
        <is>
          <t>Company Name</t>
        </is>
      </c>
    </row>
    <row r="7">
      <c r="A7" s="4" t="inlineStr">
        <is>
          <t>Market Cap ($B)</t>
        </is>
      </c>
    </row>
    <row r="8">
      <c r="A8" s="4" t="inlineStr">
        <is>
          <t>Beta</t>
        </is>
      </c>
      <c r="B8" t="n">
        <v>1</v>
      </c>
    </row>
    <row r="9">
      <c r="A9" s="4" t="inlineStr">
        <is>
          <t>Current Price</t>
        </is>
      </c>
    </row>
    <row r="10">
      <c r="A10" s="4" t="inlineStr">
        <is>
          <t>Entry Price</t>
        </is>
      </c>
    </row>
    <row r="12">
      <c r="A12" s="5" t="inlineStr">
        <is>
          <t>Valuation Score (20% weight)</t>
        </is>
      </c>
    </row>
    <row r="13">
      <c r="A13" s="6" t="inlineStr">
        <is>
          <t>Component</t>
        </is>
      </c>
      <c r="B13" s="6" t="inlineStr">
        <is>
          <t>Input Value</t>
        </is>
      </c>
      <c r="C13" s="6" t="inlineStr">
        <is>
          <t>Score (0-100)</t>
        </is>
      </c>
      <c r="D13" s="6" t="inlineStr">
        <is>
          <t>Weight</t>
        </is>
      </c>
      <c r="E13" s="6" t="inlineStr">
        <is>
          <t>Weighted Score</t>
        </is>
      </c>
      <c r="F13" s="6" t="inlineStr">
        <is>
          <t>Notes</t>
        </is>
      </c>
    </row>
    <row r="14">
      <c r="A14" t="inlineStr">
        <is>
          <t>P/E Ratio</t>
        </is>
      </c>
      <c r="B14" t="inlineStr"/>
      <c r="C14" t="inlineStr"/>
      <c r="D14" t="inlineStr">
        <is>
          <t>35%</t>
        </is>
      </c>
      <c r="E14">
        <f>C14*0.35</f>
        <v/>
      </c>
      <c r="F14" t="inlineStr">
        <is>
          <t>100-[(Current/Historical)-1]×100, Floor 0, Cap 100</t>
        </is>
      </c>
    </row>
    <row r="15">
      <c r="A15" t="inlineStr">
        <is>
          <t>FCF Yield</t>
        </is>
      </c>
      <c r="B15" t="inlineStr"/>
      <c r="C15" t="inlineStr"/>
      <c r="D15" t="inlineStr">
        <is>
          <t>30%</t>
        </is>
      </c>
      <c r="E15">
        <f>C15*0.3</f>
        <v/>
      </c>
      <c r="F15" t="inlineStr">
        <is>
          <t>&gt;5%=100, 3-5%=80, 2-3%=60, 1-2%=40, &lt;1%=20</t>
        </is>
      </c>
    </row>
    <row r="16">
      <c r="A16" t="inlineStr">
        <is>
          <t>PEG Ratio</t>
        </is>
      </c>
      <c r="B16" t="inlineStr"/>
      <c r="C16" t="inlineStr"/>
      <c r="D16" t="inlineStr">
        <is>
          <t>35%</t>
        </is>
      </c>
      <c r="E16">
        <f>C16*0.35</f>
        <v/>
      </c>
      <c r="F16" t="inlineStr">
        <is>
          <t>&lt;1.0=100, 1.0-1.5=85, 1.5-2.0=70, 2.0-2.5=50, &gt;2.5=30</t>
        </is>
      </c>
    </row>
    <row r="17">
      <c r="A17" s="4" t="inlineStr">
        <is>
          <t>VALUATION SCORE TOTAL</t>
        </is>
      </c>
      <c r="C17">
        <f>AVERAGE(C14:C16)</f>
        <v/>
      </c>
      <c r="E17" s="7">
        <f>SUM(E14:E16)</f>
        <v/>
      </c>
    </row>
    <row r="19">
      <c r="A19" s="5" t="inlineStr">
        <is>
          <t>Quality Score (35% weight)</t>
        </is>
      </c>
    </row>
    <row r="20">
      <c r="A20" s="6" t="inlineStr">
        <is>
          <t>Component</t>
        </is>
      </c>
      <c r="B20" s="6" t="inlineStr">
        <is>
          <t>Input Value</t>
        </is>
      </c>
      <c r="C20" s="6" t="inlineStr">
        <is>
          <t>Score (0-100)</t>
        </is>
      </c>
      <c r="D20" s="6" t="inlineStr">
        <is>
          <t>Weight</t>
        </is>
      </c>
      <c r="E20" s="6" t="inlineStr">
        <is>
          <t>Weighted Score</t>
        </is>
      </c>
      <c r="F20" s="6" t="inlineStr">
        <is>
          <t>Notes</t>
        </is>
      </c>
    </row>
    <row r="21">
      <c r="A21" t="inlineStr">
        <is>
          <t>ROIC</t>
        </is>
      </c>
      <c r="B21" t="inlineStr"/>
      <c r="C21" t="inlineStr"/>
      <c r="D21" t="inlineStr">
        <is>
          <t>30%</t>
        </is>
      </c>
      <c r="E21">
        <f>C21*0.3</f>
        <v/>
      </c>
      <c r="F21" t="inlineStr">
        <is>
          <t>&gt;25%=100, 20-25%=90, 15-20%=75, 10-15%=50, &lt;10%=25</t>
        </is>
      </c>
    </row>
    <row r="22">
      <c r="A22" t="inlineStr">
        <is>
          <t>Operating Margin</t>
        </is>
      </c>
      <c r="B22" t="inlineStr"/>
      <c r="C22" t="inlineStr"/>
      <c r="D22" t="inlineStr">
        <is>
          <t>20%</t>
        </is>
      </c>
      <c r="E22">
        <f>C22*0.2</f>
        <v/>
      </c>
      <c r="F22" t="inlineStr">
        <is>
          <t>&gt;30%=100, 20-30%=85, 15-20%=70, 10-15%=50, &lt;10%=30</t>
        </is>
      </c>
    </row>
    <row r="23">
      <c r="A23" t="inlineStr">
        <is>
          <t>Op Margin Trend</t>
        </is>
      </c>
      <c r="B23" t="inlineStr"/>
      <c r="C23" t="inlineStr"/>
      <c r="D23" t="inlineStr">
        <is>
          <t>12%</t>
        </is>
      </c>
      <c r="E23">
        <f>C23*0.12</f>
        <v/>
      </c>
      <c r="F23" t="inlineStr">
        <is>
          <t>&gt;200bps/yr=100, 100-200=85, 50-100=70, ±50=60, decline=25</t>
        </is>
      </c>
    </row>
    <row r="24">
      <c r="A24" t="inlineStr">
        <is>
          <t>Competitive Moat</t>
        </is>
      </c>
      <c r="B24" t="inlineStr"/>
      <c r="C24" t="inlineStr"/>
      <c r="D24" t="inlineStr">
        <is>
          <t>18%</t>
        </is>
      </c>
      <c r="E24">
        <f>C24*0.18</f>
        <v/>
      </c>
      <c r="F24" t="inlineStr">
        <is>
          <t>Base 50 + Network+25, Scale+20, Switching+20, IP+15, Reg+10</t>
        </is>
      </c>
    </row>
    <row r="25">
      <c r="A25" t="inlineStr">
        <is>
          <t>Management Execution</t>
        </is>
      </c>
      <c r="B25" t="inlineStr"/>
      <c r="C25" t="inlineStr"/>
      <c r="D25" t="inlineStr">
        <is>
          <t>10%</t>
        </is>
      </c>
      <c r="E25">
        <f>C25*0.1</f>
        <v/>
      </c>
      <c r="F25" t="inlineStr">
        <is>
          <t>Beat rate &gt;80%=100, 70-80%=85, 60-70%=70, &lt;60%=50 + bonuses</t>
        </is>
      </c>
    </row>
    <row r="26">
      <c r="A26" t="inlineStr">
        <is>
          <t>Cash Conversion</t>
        </is>
      </c>
      <c r="B26" t="inlineStr"/>
      <c r="C26" t="inlineStr"/>
      <c r="D26" t="inlineStr">
        <is>
          <t>10%</t>
        </is>
      </c>
      <c r="E26">
        <f>C26*0.1</f>
        <v/>
      </c>
      <c r="F26" t="inlineStr">
        <is>
          <t>FCF/NI: &gt;1.2=100, 1.0-1.2=80, 0.8-1.0=60, &lt;0.8=30</t>
        </is>
      </c>
    </row>
    <row r="27">
      <c r="A27" s="4" t="inlineStr">
        <is>
          <t>QUALITY SCORE TOTAL</t>
        </is>
      </c>
      <c r="C27">
        <f>AVERAGE(C21:C26)</f>
        <v/>
      </c>
      <c r="E27" s="7">
        <f>SUM(E21:E26)</f>
        <v/>
      </c>
    </row>
    <row r="29">
      <c r="A29" s="5" t="inlineStr">
        <is>
          <t>Growth Score (25% weight)</t>
        </is>
      </c>
    </row>
    <row r="30">
      <c r="A30" s="6" t="inlineStr">
        <is>
          <t>Component</t>
        </is>
      </c>
      <c r="B30" s="6" t="inlineStr">
        <is>
          <t>Input Value</t>
        </is>
      </c>
      <c r="C30" s="6" t="inlineStr">
        <is>
          <t>Score (0-100)</t>
        </is>
      </c>
      <c r="D30" s="6" t="inlineStr">
        <is>
          <t>Weight</t>
        </is>
      </c>
      <c r="E30" s="6" t="inlineStr">
        <is>
          <t>Weighted Score</t>
        </is>
      </c>
      <c r="F30" s="6" t="inlineStr">
        <is>
          <t>Notes</t>
        </is>
      </c>
    </row>
    <row r="31">
      <c r="A31" t="inlineStr">
        <is>
          <t>Revenue Growth 3Yr CAGR</t>
        </is>
      </c>
      <c r="B31" t="inlineStr"/>
      <c r="C31" t="inlineStr"/>
      <c r="D31" t="inlineStr">
        <is>
          <t>30%</t>
        </is>
      </c>
      <c r="E31">
        <f>C31*0.3</f>
        <v/>
      </c>
      <c r="F31" t="inlineStr">
        <is>
          <t>&gt;20%=100, 15-20%=85, 10-15%=65, 7-10%=45, 5-7%=30, &lt;5%=15</t>
        </is>
      </c>
    </row>
    <row r="32">
      <c r="A32" t="inlineStr">
        <is>
          <t>Growth Consistency</t>
        </is>
      </c>
      <c r="B32" t="inlineStr"/>
      <c r="C32" t="inlineStr"/>
      <c r="D32" t="inlineStr">
        <is>
          <t>15%</t>
        </is>
      </c>
      <c r="E32">
        <f>C32*0.15</f>
        <v/>
      </c>
      <c r="F32" t="inlineStr">
        <is>
          <t>Base 50, adjust for accel/decel vs 3yr avg</t>
        </is>
      </c>
    </row>
    <row r="33">
      <c r="A33" t="inlineStr">
        <is>
          <t>EPS Growth 3Yr CAGR</t>
        </is>
      </c>
      <c r="B33" t="inlineStr"/>
      <c r="C33" t="inlineStr"/>
      <c r="D33" t="inlineStr">
        <is>
          <t>25%</t>
        </is>
      </c>
      <c r="E33">
        <f>C33*0.25</f>
        <v/>
      </c>
      <c r="F33" t="inlineStr">
        <is>
          <t>&gt;25%=100, 18-25%=85, 12-18%=70, 8-12%=50, &lt;8%=30</t>
        </is>
      </c>
    </row>
    <row r="34">
      <c r="A34" t="inlineStr">
        <is>
          <t>Future Growth Potential</t>
        </is>
      </c>
      <c r="B34" t="inlineStr"/>
      <c r="C34" t="inlineStr"/>
      <c r="D34" t="inlineStr">
        <is>
          <t>15%</t>
        </is>
      </c>
      <c r="E34">
        <f>C34*0.15</f>
        <v/>
      </c>
      <c r="F34" t="inlineStr">
        <is>
          <t>TAM &gt;$500B + &lt;20% share = 100, adjust + bonuses</t>
        </is>
      </c>
    </row>
    <row r="35">
      <c r="A35" t="inlineStr">
        <is>
          <t>Analyst Consensus</t>
        </is>
      </c>
      <c r="B35" t="inlineStr"/>
      <c r="C35" t="inlineStr"/>
      <c r="D35" t="inlineStr">
        <is>
          <t>15%</t>
        </is>
      </c>
      <c r="E35">
        <f>C35*0.15</f>
        <v/>
      </c>
      <c r="F35" t="inlineStr">
        <is>
          <t>&gt;15%=100, 12-15%=80, 8-12%=60, 5-8%=40, &lt;5%=20</t>
        </is>
      </c>
    </row>
    <row r="36">
      <c r="A36" s="4" t="inlineStr">
        <is>
          <t>GROWTH SCORE TOTAL</t>
        </is>
      </c>
      <c r="C36">
        <f>AVERAGE(C31:C35)</f>
        <v/>
      </c>
      <c r="E36" s="7">
        <f>SUM(E31:E35)</f>
        <v/>
      </c>
    </row>
    <row r="38">
      <c r="A38" s="5" t="inlineStr">
        <is>
          <t>Momentum Score (10% weight)</t>
        </is>
      </c>
    </row>
    <row r="39">
      <c r="A39" s="6" t="inlineStr">
        <is>
          <t>Component</t>
        </is>
      </c>
      <c r="B39" s="6" t="inlineStr">
        <is>
          <t>Input Value</t>
        </is>
      </c>
      <c r="C39" s="6" t="inlineStr">
        <is>
          <t>Score (0-100)</t>
        </is>
      </c>
      <c r="D39" s="6" t="inlineStr">
        <is>
          <t>Weight</t>
        </is>
      </c>
      <c r="E39" s="6" t="inlineStr">
        <is>
          <t>Weighted Score</t>
        </is>
      </c>
      <c r="F39" s="6" t="inlineStr">
        <is>
          <t>Notes</t>
        </is>
      </c>
    </row>
    <row r="40">
      <c r="A40" t="inlineStr">
        <is>
          <t>12-Month Price Return</t>
        </is>
      </c>
      <c r="B40" t="inlineStr"/>
      <c r="C40" t="inlineStr"/>
      <c r="D40" t="inlineStr">
        <is>
          <t>40%</t>
        </is>
      </c>
      <c r="E40">
        <f>C40*0.4</f>
        <v/>
      </c>
      <c r="F40" t="inlineStr">
        <is>
          <t>&gt;30%=100, 20-30%=80, 10-20%=60, 0-10%=45, -10-0%=40, &lt;-10%=60</t>
        </is>
      </c>
    </row>
    <row r="41">
      <c r="A41" t="inlineStr">
        <is>
          <t>Relative Strength vs SPY</t>
        </is>
      </c>
      <c r="B41" t="inlineStr"/>
      <c r="C41" t="inlineStr"/>
      <c r="D41" t="inlineStr">
        <is>
          <t>35%</t>
        </is>
      </c>
      <c r="E41">
        <f>C41*0.35</f>
        <v/>
      </c>
      <c r="F41" t="inlineStr">
        <is>
          <t>Outperform &gt;10%=100, 5-10%=75, 0-5%=60, -5-0%=50, &lt;-5%=30</t>
        </is>
      </c>
    </row>
    <row r="42">
      <c r="A42" t="inlineStr">
        <is>
          <t>Technical Setup</t>
        </is>
      </c>
      <c r="B42" t="inlineStr"/>
      <c r="C42" t="inlineStr"/>
      <c r="D42" t="inlineStr">
        <is>
          <t>25%</t>
        </is>
      </c>
      <c r="E42">
        <f>C42*0.25</f>
        <v/>
      </c>
      <c r="F42" t="inlineStr">
        <is>
          <t>Above 50&amp;200 MA=100, Above 200=70, Above 50=55, Between=50, Below=30</t>
        </is>
      </c>
    </row>
    <row r="43">
      <c r="A43" s="4" t="inlineStr">
        <is>
          <t>MOMENTUM SCORE TOTAL</t>
        </is>
      </c>
      <c r="C43">
        <f>AVERAGE(C40:C42)</f>
        <v/>
      </c>
      <c r="E43" s="7">
        <f>SUM(E40:E42)</f>
        <v/>
      </c>
    </row>
    <row r="45">
      <c r="A45" s="5" t="inlineStr">
        <is>
          <t>Financial Health Score (10% weight)</t>
        </is>
      </c>
    </row>
    <row r="46">
      <c r="A46" s="6" t="inlineStr">
        <is>
          <t>Component</t>
        </is>
      </c>
      <c r="B46" s="6" t="inlineStr">
        <is>
          <t>Input Value</t>
        </is>
      </c>
      <c r="C46" s="6" t="inlineStr">
        <is>
          <t>Score (0-100)</t>
        </is>
      </c>
      <c r="D46" s="6" t="inlineStr">
        <is>
          <t>Weight</t>
        </is>
      </c>
      <c r="E46" s="6" t="inlineStr">
        <is>
          <t>Weighted Score</t>
        </is>
      </c>
      <c r="F46" s="6" t="inlineStr">
        <is>
          <t>Notes</t>
        </is>
      </c>
    </row>
    <row r="47">
      <c r="A47" t="inlineStr">
        <is>
          <t>Net Cash Position</t>
        </is>
      </c>
      <c r="B47" t="inlineStr"/>
      <c r="C47" t="inlineStr"/>
      <c r="D47" t="inlineStr">
        <is>
          <t>50%</t>
        </is>
      </c>
      <c r="E47">
        <f>C47*0.5</f>
        <v/>
      </c>
      <c r="F47" t="inlineStr">
        <is>
          <t>&gt;$75B=100, $50-75B=90, $25-50B=80, $0-25B=70, debt&lt;$50B=60, &gt;$50B=40</t>
        </is>
      </c>
    </row>
    <row r="48">
      <c r="A48" t="inlineStr">
        <is>
          <t>FCF Generation</t>
        </is>
      </c>
      <c r="B48" t="inlineStr"/>
      <c r="C48" t="inlineStr"/>
      <c r="D48" t="inlineStr">
        <is>
          <t>40%</t>
        </is>
      </c>
      <c r="E48">
        <f>C48*0.4</f>
        <v/>
      </c>
      <c r="F48" t="inlineStr">
        <is>
          <t>&gt;$20B=100, $15-20B=90, $10-15B=80, $5-10B=60, &lt;$5B=40</t>
        </is>
      </c>
    </row>
    <row r="49">
      <c r="A49" t="inlineStr">
        <is>
          <t>Capital Allocation</t>
        </is>
      </c>
      <c r="B49" t="inlineStr"/>
      <c r="C49" t="inlineStr"/>
      <c r="D49" t="inlineStr">
        <is>
          <t>10%</t>
        </is>
      </c>
      <c r="E49">
        <f>C49*0.1</f>
        <v/>
      </c>
      <c r="F49" t="inlineStr">
        <is>
          <t>Base 50 + Buybacks&amp;R&amp;D&gt;10%=+25, M&amp;A=+20, Dividend=+15</t>
        </is>
      </c>
    </row>
    <row r="50">
      <c r="A50" s="4" t="inlineStr">
        <is>
          <t>FINANCIAL HEALTH SCORE TOTAL</t>
        </is>
      </c>
      <c r="C50">
        <f>AVERAGE(C47:C49)</f>
        <v/>
      </c>
      <c r="E50" s="7">
        <f>SUM(E47:E49)</f>
        <v/>
      </c>
    </row>
    <row r="52">
      <c r="A52" s="8" t="inlineStr">
        <is>
          <t>COMPOSITE SCORE</t>
        </is>
      </c>
      <c r="C52" s="9">
        <f>E17+E27+E36+E43+E50</f>
        <v/>
      </c>
    </row>
    <row r="53">
      <c r="A53" s="4" t="inlineStr">
        <is>
          <t>RATING</t>
        </is>
      </c>
      <c r="C53" s="10">
        <f>IF(C52&gt;=80,"Strong Buy",IF(C52&gt;=70,"Buy",IF(C52&gt;=60,"Hold","Sell")))</f>
        <v/>
      </c>
    </row>
    <row r="54">
      <c r="A54" s="4" t="inlineStr">
        <is>
          <t>Score Buffer vs Min (60)</t>
        </is>
      </c>
      <c r="C54" s="11">
        <f>C52-60</f>
        <v/>
      </c>
    </row>
    <row r="56">
      <c r="A56" s="8" t="inlineStr">
        <is>
          <t>POSITION SIZING</t>
        </is>
      </c>
    </row>
    <row r="57">
      <c r="A57" s="4" t="inlineStr">
        <is>
          <t>Target Position %</t>
        </is>
      </c>
      <c r="C57" s="12">
        <f>(10%*C52/100)/(1+(B9-1)*0.75)</f>
        <v/>
      </c>
    </row>
    <row r="58">
      <c r="A58" s="4" t="inlineStr">
        <is>
          <t>Portfolio Value ($)</t>
        </is>
      </c>
      <c r="B58" s="13" t="n">
        <v>100000</v>
      </c>
    </row>
    <row r="59">
      <c r="A59" s="4" t="inlineStr">
        <is>
          <t>Target Dollar Amount</t>
        </is>
      </c>
      <c r="C59" s="13">
        <f>C57*B58</f>
        <v/>
      </c>
    </row>
    <row r="60">
      <c r="A60" s="4" t="inlineStr">
        <is>
          <t>Current Position Value</t>
        </is>
      </c>
      <c r="B60" s="13" t="inlineStr"/>
    </row>
    <row r="61">
      <c r="A61" s="4" t="inlineStr">
        <is>
          <t>Current Position %</t>
        </is>
      </c>
      <c r="C61" s="12">
        <f>IF(B58&gt;0,B60/B58,0)</f>
        <v/>
      </c>
    </row>
    <row r="62">
      <c r="A62" s="4" t="inlineStr">
        <is>
          <t>Drift %</t>
        </is>
      </c>
      <c r="C62" s="12">
        <f>IF(C57&gt;0,(C61-C57)/C57,0)</f>
        <v/>
      </c>
    </row>
    <row r="63">
      <c r="A63" s="4" t="inlineStr">
        <is>
          <t>Action</t>
        </is>
      </c>
      <c r="C63" s="4">
        <f>IF(C62&gt;0.10,"TRIM",IF(AND(C62&lt;-0.10,C52&gt;=60+8),"ADD IF STRONG","HOLD"))</f>
        <v/>
      </c>
    </row>
  </sheetData>
  <mergeCells count="10">
    <mergeCell ref="A4:B4"/>
    <mergeCell ref="A2:F2"/>
    <mergeCell ref="A38:F38"/>
    <mergeCell ref="A52:B52"/>
    <mergeCell ref="A19:F19"/>
    <mergeCell ref="A1:F1"/>
    <mergeCell ref="A45:F45"/>
    <mergeCell ref="A12:F12"/>
    <mergeCell ref="A56:B56"/>
    <mergeCell ref="A29:F29"/>
  </mergeCells>
  <conditionalFormatting sqref="C54">
    <cfRule type="cellIs" priority="1" operator="greaterThanOrEqual" dxfId="0">
      <formula>15</formula>
    </cfRule>
    <cfRule type="cellIs" priority="2" operator="between" dxfId="1">
      <formula>5</formula>
      <formula>14</formula>
    </cfRule>
    <cfRule type="cellIs" priority="3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2025-10-28T18:19:09Z</dcterms:created>
  <dcterms:modified xsi:type="dcterms:W3CDTF">2025-10-28T18:19:09Z</dcterms:modified>
</cp:coreProperties>
</file>