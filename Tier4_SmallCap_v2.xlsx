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 4 Small-Cap Moon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0.00"/>
    <numFmt numFmtId="165" formatCode="+0;-0;0"/>
    <numFmt numFmtId="166" formatCode="0.0%"/>
    <numFmt numFmtId="167" formatCode="$#,##0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sz val="11"/>
    </font>
    <font>
      <b val="1"/>
    </font>
    <font>
      <b val="1"/>
      <color rgb="00C00000"/>
    </font>
    <font>
      <b val="1"/>
      <color rgb="00FFFFFF"/>
      <sz val="12"/>
    </font>
    <font>
      <b val="1"/>
      <color rgb="00FFFFFF"/>
      <sz val="11"/>
    </font>
    <font>
      <b val="1"/>
      <sz val="12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D6DCE4"/>
        <bgColor rgb="00D6DCE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164" fontId="0" fillId="4" borderId="0" pivotButton="0" quotePrefix="0" xfId="0"/>
    <xf numFmtId="165" fontId="0" fillId="0" borderId="0" pivotButton="0" quotePrefix="0" xfId="0"/>
    <xf numFmtId="0" fontId="6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7" fillId="8" borderId="0" pivotButton="0" quotePrefix="0" xfId="0"/>
    <xf numFmtId="2" fontId="8" fillId="0" borderId="0" pivotButton="0" quotePrefix="0" xfId="0"/>
    <xf numFmtId="0" fontId="6" fillId="8" borderId="0" pivotButton="0" quotePrefix="0" xfId="0"/>
    <xf numFmtId="2" fontId="9" fillId="9" borderId="0" pivotButton="0" quotePrefix="0" xfId="0"/>
    <xf numFmtId="0" fontId="8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10" customWidth="1" min="4" max="4"/>
    <col width="15" customWidth="1" min="5" max="5"/>
    <col width="82" customWidth="1" min="6" max="6"/>
  </cols>
  <sheetData>
    <row r="1">
      <c r="A1" s="1" t="inlineStr">
        <is>
          <t>TIER 4: SMALL-CAP MOONSHOTS (&lt;$10B) - Enhanced v2.0</t>
        </is>
      </c>
    </row>
    <row r="2">
      <c r="A2" s="2" t="inlineStr">
        <is>
          <t>Minimum Score: 70 | Position Size: 1-3% | Risk: Highest | Stop Loss: -40% Stop MANDATORY</t>
        </is>
      </c>
    </row>
    <row r="4">
      <c r="A4" s="3" t="inlineStr">
        <is>
          <t>STOCK INFORMATION</t>
        </is>
      </c>
    </row>
    <row r="5">
      <c r="A5" s="4" t="inlineStr">
        <is>
          <t>Ticker</t>
        </is>
      </c>
    </row>
    <row r="6">
      <c r="A6" s="4" t="inlineStr">
        <is>
          <t>Company Name</t>
        </is>
      </c>
    </row>
    <row r="7">
      <c r="A7" s="4" t="inlineStr">
        <is>
          <t>Sector</t>
        </is>
      </c>
    </row>
    <row r="8">
      <c r="A8" s="4" t="inlineStr">
        <is>
          <t>Market Cap ($B)</t>
        </is>
      </c>
    </row>
    <row r="9">
      <c r="A9" s="4" t="inlineStr">
        <is>
          <t>Beta</t>
        </is>
      </c>
      <c r="B9" t="n">
        <v>1</v>
      </c>
    </row>
    <row r="10">
      <c r="A10" s="4" t="inlineStr">
        <is>
          <t>Max Drawdown (1Y %)</t>
        </is>
      </c>
    </row>
    <row r="11">
      <c r="A11" s="4" t="inlineStr">
        <is>
          <t>Current Price</t>
        </is>
      </c>
    </row>
    <row r="12">
      <c r="A12" s="4" t="inlineStr">
        <is>
          <t>Entry Price</t>
        </is>
      </c>
    </row>
    <row r="13">
      <c r="A13" s="5" t="inlineStr">
        <is>
          <t>⚠️ STOP LOSS PRICE (-40%)</t>
        </is>
      </c>
      <c r="B13" s="6">
        <f>B12*0.6</f>
        <v/>
      </c>
    </row>
    <row r="15">
      <c r="A15" s="3" t="inlineStr">
        <is>
          <t>SECTOR ADJUSTMENT</t>
        </is>
      </c>
    </row>
    <row r="16">
      <c r="A16" s="4" t="inlineStr">
        <is>
          <t>Sector Modifier</t>
        </is>
      </c>
      <c r="B16" s="7" t="n">
        <v>0</v>
      </c>
      <c r="F16" t="inlineStr">
        <is>
          <t>Tech/Software: +2 | Healthcare: +1 | Industrials: 0 | Financials: -1 | Utilities: -2</t>
        </is>
      </c>
    </row>
    <row r="17">
      <c r="A17" s="4" t="inlineStr">
        <is>
          <t>Economic Cycle Adj</t>
        </is>
      </c>
      <c r="B17" s="7" t="n">
        <v>0</v>
      </c>
      <c r="F17" t="inlineStr">
        <is>
          <t>Expansion: +1 | Peak: 0 | Contraction: -1 | Trough: 0</t>
        </is>
      </c>
    </row>
    <row r="19">
      <c r="A19" s="8" t="inlineStr">
        <is>
          <t>Valuation Score (10% weight)</t>
        </is>
      </c>
    </row>
    <row r="20">
      <c r="A20" s="9" t="inlineStr">
        <is>
          <t>Component</t>
        </is>
      </c>
      <c r="B20" s="9" t="inlineStr">
        <is>
          <t>Input Value</t>
        </is>
      </c>
      <c r="C20" s="9" t="inlineStr">
        <is>
          <t>Score (0-100)</t>
        </is>
      </c>
      <c r="D20" s="9" t="inlineStr">
        <is>
          <t>Weight</t>
        </is>
      </c>
      <c r="E20" s="9" t="inlineStr">
        <is>
          <t>Weighted Score</t>
        </is>
      </c>
      <c r="F20" s="9" t="inlineStr">
        <is>
          <t>Notes</t>
        </is>
      </c>
    </row>
    <row r="21">
      <c r="A21" t="inlineStr">
        <is>
          <t>Price-to-Sales</t>
        </is>
      </c>
      <c r="B21" t="inlineStr"/>
      <c r="C21" t="inlineStr"/>
      <c r="D21" t="inlineStr">
        <is>
          <t>60%</t>
        </is>
      </c>
      <c r="E21">
        <f>C21*0.6</f>
        <v/>
      </c>
      <c r="F21" t="inlineStr">
        <is>
          <t>&lt;12x=100, 12-20=85, 20-35=70 + growth &gt;75%=+25, &gt;100%=+30 | MAX BONUS: +30</t>
        </is>
      </c>
    </row>
    <row r="22">
      <c r="A22" t="inlineStr">
        <is>
          <t>Relative Valuation</t>
        </is>
      </c>
      <c r="B22" t="inlineStr"/>
      <c r="C22" t="inlineStr"/>
      <c r="D22" t="inlineStr">
        <is>
          <t>25%</t>
        </is>
      </c>
      <c r="E22">
        <f>C22*0.25</f>
        <v/>
      </c>
      <c r="F22" t="inlineStr">
        <is>
          <t>Below median=100, At median=75, 1-2x=60, 2-3x=40, &gt;3x=20</t>
        </is>
      </c>
    </row>
    <row r="23">
      <c r="A23" t="inlineStr">
        <is>
          <t>Insider Ownership</t>
        </is>
      </c>
      <c r="B23" t="inlineStr"/>
      <c r="C23" t="inlineStr"/>
      <c r="D23" t="inlineStr">
        <is>
          <t>15%</t>
        </is>
      </c>
      <c r="E23">
        <f>C23*0.15</f>
        <v/>
      </c>
      <c r="F23" t="inlineStr">
        <is>
          <t>&gt;25%=100, 20-25%=90, 15-20%=80 + buying=+15, Founder&gt;30%=+15 | MAX BONUS: +20</t>
        </is>
      </c>
    </row>
    <row r="24">
      <c r="A24" s="4" t="inlineStr">
        <is>
          <t>VALUATION SCORE TOTAL</t>
        </is>
      </c>
      <c r="C24">
        <f>AVERAGE(C21:C23)</f>
        <v/>
      </c>
      <c r="E24" s="10">
        <f>SUM(E21:E23)</f>
        <v/>
      </c>
    </row>
    <row r="26">
      <c r="A26" s="8" t="inlineStr">
        <is>
          <t>Quality Score (15% weight)</t>
        </is>
      </c>
    </row>
    <row r="27">
      <c r="A27" s="9" t="inlineStr">
        <is>
          <t>Component</t>
        </is>
      </c>
      <c r="B27" s="9" t="inlineStr">
        <is>
          <t>Input Value</t>
        </is>
      </c>
      <c r="C27" s="9" t="inlineStr">
        <is>
          <t>Score (0-100)</t>
        </is>
      </c>
      <c r="D27" s="9" t="inlineStr">
        <is>
          <t>Weight</t>
        </is>
      </c>
      <c r="E27" s="9" t="inlineStr">
        <is>
          <t>Weighted Score</t>
        </is>
      </c>
      <c r="F27" s="9" t="inlineStr">
        <is>
          <t>Notes</t>
        </is>
      </c>
    </row>
    <row r="28">
      <c r="A28" t="inlineStr">
        <is>
          <t>Gross Margin</t>
        </is>
      </c>
      <c r="B28" t="inlineStr"/>
      <c r="C28" t="inlineStr"/>
      <c r="D28" t="inlineStr">
        <is>
          <t>30%</t>
        </is>
      </c>
      <c r="E28">
        <f>C28*0.3</f>
        <v/>
      </c>
      <c r="F28" t="inlineStr">
        <is>
          <t>&gt;70%=100, 60-70%=85, 50-60%=70, 40-50%=50, 30-40%=35</t>
        </is>
      </c>
    </row>
    <row r="29">
      <c r="A29" t="inlineStr">
        <is>
          <t>Revenue Quality</t>
        </is>
      </c>
      <c r="B29" t="inlineStr"/>
      <c r="C29" t="inlineStr"/>
      <c r="D29" t="inlineStr">
        <is>
          <t>30%</t>
        </is>
      </c>
      <c r="E29">
        <f>C29*0.3</f>
        <v/>
      </c>
      <c r="F29" t="inlineStr">
        <is>
          <t>Base 50 + &gt;70% recurring=+25, NRR&gt;110%=+15 - Conc &gt;50%=-45, &gt;40%=-35 | MAX BONUS: +25</t>
        </is>
      </c>
    </row>
    <row r="30">
      <c r="A30" t="inlineStr">
        <is>
          <t>Unit Economics</t>
        </is>
      </c>
      <c r="B30" t="inlineStr"/>
      <c r="C30" t="inlineStr"/>
      <c r="D30" t="inlineStr">
        <is>
          <t>20%</t>
        </is>
      </c>
      <c r="E30">
        <f>C30*0.2</f>
        <v/>
      </c>
      <c r="F30" t="inlineStr">
        <is>
          <t>LTV/CAC &gt;3x=100, 2-3x=75, 1-2x=40 | Payback &lt;12mo=85 + Improving=+10 | MAX BONUS: +10</t>
        </is>
      </c>
    </row>
    <row r="31">
      <c r="A31" t="inlineStr">
        <is>
          <t>Path to Profitability</t>
        </is>
      </c>
      <c r="B31" t="inlineStr"/>
      <c r="C31" t="inlineStr"/>
      <c r="D31" t="inlineStr">
        <is>
          <t>20%</t>
        </is>
      </c>
      <c r="E31">
        <f>C31*0.2</f>
        <v/>
      </c>
      <c r="F31" t="inlineStr">
        <is>
          <t>Profitable=100, &lt;12mo=80, 12-24mo=60 - Burn accel=-30, No path=-20 | MAX BONUS: +0</t>
        </is>
      </c>
    </row>
    <row r="32">
      <c r="A32" s="4" t="inlineStr">
        <is>
          <t>QUALITY SCORE TOTAL</t>
        </is>
      </c>
      <c r="C32">
        <f>AVERAGE(C28:C31)</f>
        <v/>
      </c>
      <c r="E32" s="10">
        <f>SUM(E28:E31)</f>
        <v/>
      </c>
    </row>
    <row r="34">
      <c r="A34" s="8" t="inlineStr">
        <is>
          <t>Growth Score (40% weight)</t>
        </is>
      </c>
    </row>
    <row r="35">
      <c r="A35" s="9" t="inlineStr">
        <is>
          <t>Component</t>
        </is>
      </c>
      <c r="B35" s="9" t="inlineStr">
        <is>
          <t>Input Value</t>
        </is>
      </c>
      <c r="C35" s="9" t="inlineStr">
        <is>
          <t>Score (0-100)</t>
        </is>
      </c>
      <c r="D35" s="9" t="inlineStr">
        <is>
          <t>Weight</t>
        </is>
      </c>
      <c r="E35" s="9" t="inlineStr">
        <is>
          <t>Weighted Score</t>
        </is>
      </c>
      <c r="F35" s="9" t="inlineStr">
        <is>
          <t>Notes</t>
        </is>
      </c>
    </row>
    <row r="36">
      <c r="A36" t="inlineStr">
        <is>
          <t>Revenue Growth</t>
        </is>
      </c>
      <c r="B36" t="inlineStr"/>
      <c r="C36" t="inlineStr"/>
      <c r="D36" t="inlineStr">
        <is>
          <t>28%</t>
        </is>
      </c>
      <c r="E36">
        <f>C36*0.28</f>
        <v/>
      </c>
      <c r="F36" t="inlineStr">
        <is>
          <t>&gt;100%=100, 75-100%=95, 55-75%=85, 40-55%=70, 30-40%=50</t>
        </is>
      </c>
    </row>
    <row r="37">
      <c r="A37" t="inlineStr">
        <is>
          <t>Growth Consistency</t>
        </is>
      </c>
      <c r="B37" t="inlineStr"/>
      <c r="C37" t="inlineStr"/>
      <c r="D37" t="inlineStr">
        <is>
          <t>15%</t>
        </is>
      </c>
      <c r="E37">
        <f>C37*0.15</f>
        <v/>
      </c>
      <c r="F37" t="inlineStr">
        <is>
          <t>5+ qtrs accel=100, 4 qtrs=90, 3 qtrs=80 +8/qtr beyond 5 | MAX BONUS: +30</t>
        </is>
      </c>
    </row>
    <row r="38">
      <c r="A38" t="inlineStr">
        <is>
          <t>TAM Size</t>
        </is>
      </c>
      <c r="B38" t="inlineStr"/>
      <c r="C38" t="inlineStr"/>
      <c r="D38" t="inlineStr">
        <is>
          <t>15%</t>
        </is>
      </c>
      <c r="E38">
        <f>C38*0.15</f>
        <v/>
      </c>
      <c r="F38" t="inlineStr">
        <is>
          <t>&gt;$150B=100, $100-150B=90, $50-100B=75, $25-50B=55 (Standardized)</t>
        </is>
      </c>
    </row>
    <row r="39">
      <c r="A39" t="inlineStr">
        <is>
          <t>Market Penetration</t>
        </is>
      </c>
      <c r="B39" t="inlineStr"/>
      <c r="C39" t="inlineStr"/>
      <c r="D39" t="inlineStr">
        <is>
          <t>10%</t>
        </is>
      </c>
      <c r="E39">
        <f>C39*0.1</f>
        <v/>
      </c>
      <c r="F39" t="inlineStr">
        <is>
          <t>&lt;3%=100, 3-5%=90, 5-10%=75, 10-15%=55, &gt;15%=35</t>
        </is>
      </c>
    </row>
    <row r="40">
      <c r="A40" t="inlineStr">
        <is>
          <t>Growth Driver Strength</t>
        </is>
      </c>
      <c r="B40" t="inlineStr"/>
      <c r="C40" t="inlineStr"/>
      <c r="D40" t="inlineStr">
        <is>
          <t>15%</t>
        </is>
      </c>
      <c r="E40">
        <f>C40*0.15</f>
        <v/>
      </c>
      <c r="F40" t="inlineStr">
        <is>
          <t>Base 50 + Network=+20, Viral&gt;50%=+20, Platform=+15 | MAX BONUS: +25</t>
        </is>
      </c>
    </row>
    <row r="41">
      <c r="A41" t="inlineStr">
        <is>
          <t>Forward Estimates</t>
        </is>
      </c>
      <c r="B41" t="inlineStr"/>
      <c r="C41" t="inlineStr"/>
      <c r="D41" t="inlineStr">
        <is>
          <t>12%</t>
        </is>
      </c>
      <c r="E41">
        <f>C41*0.12</f>
        <v/>
      </c>
      <c r="F41" t="inlineStr">
        <is>
          <t>&gt;60%=100, 50-60%=90, 40-50%=80 + accel &gt;12%=+15 | MAX BONUS: +15</t>
        </is>
      </c>
    </row>
    <row r="42">
      <c r="A42" t="inlineStr">
        <is>
          <t>Catalyst Pipeline</t>
        </is>
      </c>
      <c r="B42" t="inlineStr"/>
      <c r="C42" t="inlineStr"/>
      <c r="D42" t="inlineStr">
        <is>
          <t>5%</t>
        </is>
      </c>
      <c r="E42">
        <f>C42*0.05</f>
        <v/>
      </c>
      <c r="F42" t="inlineStr">
        <is>
          <t>Base 50 + Launch=+25, Market expand=+20, Partnership=+20 | MAX BONUS: +25</t>
        </is>
      </c>
    </row>
    <row r="43">
      <c r="A43" s="4" t="inlineStr">
        <is>
          <t>GROWTH SCORE TOTAL</t>
        </is>
      </c>
      <c r="C43">
        <f>AVERAGE(C36:C42)</f>
        <v/>
      </c>
      <c r="E43" s="10">
        <f>SUM(E36:E42)</f>
        <v/>
      </c>
    </row>
    <row r="45">
      <c r="A45" s="8" t="inlineStr">
        <is>
          <t>Momentum Score (15% weight)</t>
        </is>
      </c>
    </row>
    <row r="46">
      <c r="A46" s="9" t="inlineStr">
        <is>
          <t>Component</t>
        </is>
      </c>
      <c r="B46" s="9" t="inlineStr">
        <is>
          <t>Input Value</t>
        </is>
      </c>
      <c r="C46" s="9" t="inlineStr">
        <is>
          <t>Score (0-100)</t>
        </is>
      </c>
      <c r="D46" s="9" t="inlineStr">
        <is>
          <t>Weight</t>
        </is>
      </c>
      <c r="E46" s="9" t="inlineStr">
        <is>
          <t>Weighted Score</t>
        </is>
      </c>
      <c r="F46" s="9" t="inlineStr">
        <is>
          <t>Notes</t>
        </is>
      </c>
    </row>
    <row r="47">
      <c r="A47" t="inlineStr">
        <is>
          <t>6-Month Return</t>
        </is>
      </c>
      <c r="B47" t="inlineStr"/>
      <c r="C47" t="inlineStr"/>
      <c r="D47" t="inlineStr">
        <is>
          <t>40%</t>
        </is>
      </c>
      <c r="E47">
        <f>C47*0.4</f>
        <v/>
      </c>
      <c r="F47" t="inlineStr">
        <is>
          <t>&gt;100%=100, 70-100%=95, 50-70%=85, 30-50%=70, &lt;0%=60 oversold</t>
        </is>
      </c>
    </row>
    <row r="48">
      <c r="A48" t="inlineStr">
        <is>
          <t>Relative Strength vs IWO</t>
        </is>
      </c>
      <c r="B48" t="inlineStr"/>
      <c r="C48" t="inlineStr"/>
      <c r="D48" t="inlineStr">
        <is>
          <t>30%</t>
        </is>
      </c>
      <c r="E48">
        <f>C48*0.3</f>
        <v/>
      </c>
      <c r="F48" t="inlineStr">
        <is>
          <t>&gt;30% outperform=100, 20-30%=85, 10-20%=65, 0-10%=45</t>
        </is>
      </c>
    </row>
    <row r="49">
      <c r="A49" t="inlineStr">
        <is>
          <t>Social Sentiment</t>
        </is>
      </c>
      <c r="B49" t="inlineStr"/>
      <c r="C49" t="inlineStr"/>
      <c r="D49" t="inlineStr">
        <is>
          <t>20%</t>
        </is>
      </c>
      <c r="E49">
        <f>C49*0.2</f>
        <v/>
      </c>
      <c r="F49" t="inlineStr">
        <is>
          <t>Base 50 + Bullish mentions=+20, Upgrades=+20 - Unsustainable meme=-25 | MAX BONUS: +25</t>
        </is>
      </c>
    </row>
    <row r="50">
      <c r="A50" t="inlineStr">
        <is>
          <t>Volume Surge</t>
        </is>
      </c>
      <c r="B50" t="inlineStr"/>
      <c r="C50" t="inlineStr"/>
      <c r="D50" t="inlineStr">
        <is>
          <t>10%</t>
        </is>
      </c>
      <c r="E50">
        <f>C50*0.1</f>
        <v/>
      </c>
      <c r="F50" t="inlineStr">
        <is>
          <t>&gt;75% increase=100, 50-75%=85, 25-50%=65, Stable=50</t>
        </is>
      </c>
    </row>
    <row r="51">
      <c r="A51" s="4" t="inlineStr">
        <is>
          <t>MOMENTUM SCORE TOTAL</t>
        </is>
      </c>
      <c r="C51">
        <f>AVERAGE(C47:C50)</f>
        <v/>
      </c>
      <c r="E51" s="10">
        <f>SUM(E47:E50)</f>
        <v/>
      </c>
    </row>
    <row r="53">
      <c r="A53" s="8" t="inlineStr">
        <is>
          <t>Disruption Potential Score (20% weight)</t>
        </is>
      </c>
    </row>
    <row r="54">
      <c r="A54" s="9" t="inlineStr">
        <is>
          <t>Component</t>
        </is>
      </c>
      <c r="B54" s="9" t="inlineStr">
        <is>
          <t>Input Value</t>
        </is>
      </c>
      <c r="C54" s="9" t="inlineStr">
        <is>
          <t>Score (0-100)</t>
        </is>
      </c>
      <c r="D54" s="9" t="inlineStr">
        <is>
          <t>Weight</t>
        </is>
      </c>
      <c r="E54" s="9" t="inlineStr">
        <is>
          <t>Weighted Score</t>
        </is>
      </c>
      <c r="F54" s="9" t="inlineStr">
        <is>
          <t>Notes</t>
        </is>
      </c>
    </row>
    <row r="55">
      <c r="A55" t="inlineStr">
        <is>
          <t>Market Disruption</t>
        </is>
      </c>
      <c r="B55" t="inlineStr"/>
      <c r="C55" t="inlineStr"/>
      <c r="D55" t="inlineStr">
        <is>
          <t>35%</t>
        </is>
      </c>
      <c r="E55">
        <f>C55*0.35</f>
        <v/>
      </c>
      <c r="F55" t="inlineStr">
        <is>
          <t>Attacking $100B+=100, New category=95, Share gains=85, Niche=70</t>
        </is>
      </c>
    </row>
    <row r="56">
      <c r="A56" t="inlineStr">
        <is>
          <t>Technology Moat</t>
        </is>
      </c>
      <c r="B56" t="inlineStr"/>
      <c r="C56" t="inlineStr"/>
      <c r="D56" t="inlineStr">
        <is>
          <t>25%</t>
        </is>
      </c>
      <c r="E56">
        <f>C56*0.25</f>
        <v/>
      </c>
      <c r="F56" t="inlineStr">
        <is>
          <t>Base 50 + Proprietary AI=+25, Patents=+20, Data=+20, Supply=+20 | MAX BONUS: +30</t>
        </is>
      </c>
    </row>
    <row r="57">
      <c r="A57" t="inlineStr">
        <is>
          <t>Competitive Dynamics</t>
        </is>
      </c>
      <c r="B57" t="inlineStr"/>
      <c r="C57" t="inlineStr"/>
      <c r="D57" t="inlineStr">
        <is>
          <t>25%</t>
        </is>
      </c>
      <c r="E57">
        <f>C57*0.25</f>
        <v/>
      </c>
      <c r="F57" t="inlineStr">
        <is>
          <t>Winner-take-most=100, Oligopoly=80, Differentiated=60, Crowded=40</t>
        </is>
      </c>
    </row>
    <row r="58">
      <c r="A58" t="inlineStr">
        <is>
          <t>Catalyst Pipeline</t>
        </is>
      </c>
      <c r="B58" t="inlineStr"/>
      <c r="C58" t="inlineStr"/>
      <c r="D58" t="inlineStr">
        <is>
          <t>15%</t>
        </is>
      </c>
      <c r="E58">
        <f>C58*0.15</f>
        <v/>
      </c>
      <c r="F58" t="inlineStr">
        <is>
          <t>Base 50 + Launch=+25, Partnership=+20, Regulatory=+25 | MAX BONUS: +25</t>
        </is>
      </c>
    </row>
    <row r="59">
      <c r="A59" s="4" t="inlineStr">
        <is>
          <t>DISRUPTION POTENTIAL SCORE TOTAL</t>
        </is>
      </c>
      <c r="C59">
        <f>AVERAGE(C55:C58)</f>
        <v/>
      </c>
      <c r="E59" s="10">
        <f>SUM(E55:E58)</f>
        <v/>
      </c>
    </row>
    <row r="61">
      <c r="A61" s="11" t="inlineStr">
        <is>
          <t>COMPOSITE SCORE (Raw)</t>
        </is>
      </c>
      <c r="C61" s="12">
        <f>E24+E32+E43+E51+E59</f>
        <v/>
      </c>
    </row>
    <row r="62">
      <c r="A62" s="13" t="inlineStr">
        <is>
          <t>ADJUSTED COMPOSITE</t>
        </is>
      </c>
      <c r="C62" s="14">
        <f>C61+B17+B18</f>
        <v/>
      </c>
    </row>
    <row r="63">
      <c r="A63" s="4" t="inlineStr">
        <is>
          <t>RATING</t>
        </is>
      </c>
      <c r="C63" s="15">
        <f>IF(C62&gt;=80,"Strong Buy",IF(C62&gt;=70,"Buy",IF(C62&gt;=60,"Hold","Sell")))</f>
        <v/>
      </c>
    </row>
    <row r="64">
      <c r="A64" s="4" t="inlineStr">
        <is>
          <t>Score Buffer vs Min (70)</t>
        </is>
      </c>
      <c r="C64" s="16">
        <f>C62-70</f>
        <v/>
      </c>
    </row>
    <row r="66">
      <c r="A66" s="13" t="inlineStr">
        <is>
          <t>POSITION SIZING (Risk-Adjusted)</t>
        </is>
      </c>
    </row>
    <row r="67">
      <c r="A67" s="4" t="inlineStr">
        <is>
          <t>Beta Adjustment Factor</t>
        </is>
      </c>
      <c r="C67" s="16">
        <f>1+(B9-1)*1.5</f>
        <v/>
      </c>
    </row>
    <row r="68">
      <c r="A68" s="4" t="inlineStr">
        <is>
          <t>Drawdown Penalty Factor</t>
        </is>
      </c>
      <c r="C68" s="16">
        <f>IF(B10="",1,1+(B10/100)*0.5)</f>
        <v/>
      </c>
      <c r="F68" t="inlineStr">
        <is>
          <t>If 1Y Max DD = -30%, penalty = 1.15x</t>
        </is>
      </c>
    </row>
    <row r="69">
      <c r="A69" s="4" t="inlineStr">
        <is>
          <t>Combined Risk Factor</t>
        </is>
      </c>
      <c r="C69" s="16">
        <f>C67*C68</f>
        <v/>
      </c>
    </row>
    <row r="70">
      <c r="A70" s="4" t="inlineStr">
        <is>
          <t>Target Position %</t>
        </is>
      </c>
      <c r="C70" s="17">
        <f>(3%*C62/100)/C69</f>
        <v/>
      </c>
    </row>
    <row r="71">
      <c r="A71" s="4" t="inlineStr">
        <is>
          <t>Portfolio Value ($)</t>
        </is>
      </c>
      <c r="B71" s="18" t="n">
        <v>100000</v>
      </c>
    </row>
    <row r="72">
      <c r="A72" s="4" t="inlineStr">
        <is>
          <t>Target Dollar Amount</t>
        </is>
      </c>
      <c r="C72" s="18">
        <f>C70*B71</f>
        <v/>
      </c>
    </row>
    <row r="73">
      <c r="A73" s="4" t="inlineStr">
        <is>
          <t>Current Position Value</t>
        </is>
      </c>
      <c r="B73" s="18" t="inlineStr"/>
    </row>
    <row r="74">
      <c r="A74" s="4" t="inlineStr">
        <is>
          <t>Current Position %</t>
        </is>
      </c>
      <c r="C74" s="17">
        <f>IF(B71&gt;0,B73/B71,0)</f>
        <v/>
      </c>
    </row>
    <row r="75">
      <c r="A75" s="4" t="inlineStr">
        <is>
          <t>Drift %</t>
        </is>
      </c>
      <c r="C75" s="17">
        <f>IF(C70&gt;0,(C74-C70)/C70,0)</f>
        <v/>
      </c>
    </row>
    <row r="76">
      <c r="A76" s="4" t="inlineStr">
        <is>
          <t>Action</t>
        </is>
      </c>
      <c r="C76" s="4">
        <f>IF(C75&gt;0.10,"TRIM",IF(AND(C75&lt;-0.10,C62&gt;=70+8),"ADD IF STRONG","HOLD"))</f>
        <v/>
      </c>
    </row>
  </sheetData>
  <mergeCells count="12">
    <mergeCell ref="A4:B4"/>
    <mergeCell ref="A2:F2"/>
    <mergeCell ref="A62:B62"/>
    <mergeCell ref="A19:F19"/>
    <mergeCell ref="A1:F1"/>
    <mergeCell ref="A45:F45"/>
    <mergeCell ref="A66:B66"/>
    <mergeCell ref="A34:F34"/>
    <mergeCell ref="A26:F26"/>
    <mergeCell ref="A53:F53"/>
    <mergeCell ref="A61:B61"/>
    <mergeCell ref="A15:F15"/>
  </mergeCells>
  <conditionalFormatting sqref="C64">
    <cfRule type="cellIs" priority="1" operator="greaterThanOrEqual" dxfId="0">
      <formula>15</formula>
    </cfRule>
    <cfRule type="cellIs" priority="2" operator="between" dxfId="1">
      <formula>5</formula>
      <formula>14</formula>
    </cfRule>
    <cfRule type="cellIs" priority="3" operator="lessThan" dxfId="2">
      <formula>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2025-10-31T17:33:41Z</dcterms:created>
  <dcterms:modified xsi:type="dcterms:W3CDTF">2025-10-31T17:33:41Z</dcterms:modified>
</cp:coreProperties>
</file>