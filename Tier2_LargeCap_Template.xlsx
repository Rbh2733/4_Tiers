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2 Large-Cap 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sz val="11"/>
    </font>
    <font>
      <b val="1"/>
    </font>
    <font>
      <b val="1"/>
      <color rgb="00FFFFFF"/>
      <sz val="12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6DCE4"/>
        <bgColor rgb="00D6DCE4"/>
      </patternFill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6" borderId="0" pivotButton="0" quotePrefix="0" xfId="0"/>
    <xf numFmtId="2" fontId="6" fillId="7" borderId="0" pivotButton="0" quotePrefix="0" xfId="0"/>
    <xf numFmtId="0" fontId="7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10" customWidth="1" min="4" max="4"/>
    <col width="15" customWidth="1" min="5" max="5"/>
    <col width="70" customWidth="1" min="6" max="6"/>
  </cols>
  <sheetData>
    <row r="1">
      <c r="A1" s="1" t="inlineStr">
        <is>
          <t>TIER 2: LARGE-CAP GROWTH ($50-200B)</t>
        </is>
      </c>
    </row>
    <row r="2">
      <c r="A2" s="2" t="inlineStr">
        <is>
          <t>Minimum Score: 65 | Position Size: 5-8% | Risk: Low-Moderate</t>
        </is>
      </c>
    </row>
    <row r="4">
      <c r="A4" s="3" t="inlineStr">
        <is>
          <t>STOCK INFORMATION</t>
        </is>
      </c>
    </row>
    <row r="5">
      <c r="A5" s="4" t="inlineStr">
        <is>
          <t>Ticker</t>
        </is>
      </c>
    </row>
    <row r="6">
      <c r="A6" s="4" t="inlineStr">
        <is>
          <t>Company Name</t>
        </is>
      </c>
    </row>
    <row r="7">
      <c r="A7" s="4" t="inlineStr">
        <is>
          <t>Market Cap ($B)</t>
        </is>
      </c>
    </row>
    <row r="8">
      <c r="A8" s="4" t="inlineStr">
        <is>
          <t>Beta</t>
        </is>
      </c>
      <c r="B8" t="n">
        <v>1</v>
      </c>
    </row>
    <row r="9">
      <c r="A9" s="4" t="inlineStr">
        <is>
          <t>Current Price</t>
        </is>
      </c>
    </row>
    <row r="10">
      <c r="A10" s="4" t="inlineStr">
        <is>
          <t>Entry Price</t>
        </is>
      </c>
    </row>
    <row r="12">
      <c r="A12" s="5" t="inlineStr">
        <is>
          <t>Valuation Score (18% weight)</t>
        </is>
      </c>
    </row>
    <row r="13">
      <c r="A13" s="6" t="inlineStr">
        <is>
          <t>Component</t>
        </is>
      </c>
      <c r="B13" s="6" t="inlineStr">
        <is>
          <t>Input Value</t>
        </is>
      </c>
      <c r="C13" s="6" t="inlineStr">
        <is>
          <t>Score (0-100)</t>
        </is>
      </c>
      <c r="D13" s="6" t="inlineStr">
        <is>
          <t>Weight</t>
        </is>
      </c>
      <c r="E13" s="6" t="inlineStr">
        <is>
          <t>Weighted Score</t>
        </is>
      </c>
      <c r="F13" s="6" t="inlineStr">
        <is>
          <t>Notes</t>
        </is>
      </c>
    </row>
    <row r="14">
      <c r="A14" t="inlineStr">
        <is>
          <t>Forward P/E or P/S</t>
        </is>
      </c>
      <c r="B14" t="inlineStr"/>
      <c r="C14" t="inlineStr"/>
      <c r="D14" t="inlineStr">
        <is>
          <t>55%</t>
        </is>
      </c>
      <c r="E14">
        <f>C14*0.55</f>
        <v/>
      </c>
      <c r="F14" t="inlineStr">
        <is>
          <t>P/E: &lt;25=100, 25-35=85, 35-50=70, 50-70=50, &gt;70=35 | P/S: &lt;8=100, 8-12=85, 12-18=70, 18-25=50 + growth bonuses</t>
        </is>
      </c>
    </row>
    <row r="15">
      <c r="A15" t="inlineStr">
        <is>
          <t>PEG Ratio</t>
        </is>
      </c>
      <c r="B15" t="inlineStr"/>
      <c r="C15" t="inlineStr"/>
      <c r="D15" t="inlineStr">
        <is>
          <t>25%</t>
        </is>
      </c>
      <c r="E15">
        <f>C15*0.25</f>
        <v/>
      </c>
      <c r="F15" t="inlineStr">
        <is>
          <t>&lt;1.0=100, 1.0-1.5=85, 1.5-2.0=70, 2.0-2.5=50, &gt;2.5=30</t>
        </is>
      </c>
    </row>
    <row r="16">
      <c r="A16" t="inlineStr">
        <is>
          <t>Relative Valuation</t>
        </is>
      </c>
      <c r="B16" t="inlineStr"/>
      <c r="C16" t="inlineStr"/>
      <c r="D16" t="inlineStr">
        <is>
          <t>20%</t>
        </is>
      </c>
      <c r="E16">
        <f>C16*0.2</f>
        <v/>
      </c>
      <c r="F16" t="inlineStr">
        <is>
          <t>Below sector=100, 0-15% above=80, 15-30%=60, 30-50%=40, &gt;50%=20</t>
        </is>
      </c>
    </row>
    <row r="17">
      <c r="A17" s="4" t="inlineStr">
        <is>
          <t>VALUATION SCORE TOTAL</t>
        </is>
      </c>
      <c r="C17">
        <f>AVERAGE(C14:C16)</f>
        <v/>
      </c>
      <c r="E17" s="7">
        <f>SUM(E14:E16)</f>
        <v/>
      </c>
    </row>
    <row r="19">
      <c r="A19" s="5" t="inlineStr">
        <is>
          <t>Quality Score (28% weight)</t>
        </is>
      </c>
    </row>
    <row r="20">
      <c r="A20" s="6" t="inlineStr">
        <is>
          <t>Component</t>
        </is>
      </c>
      <c r="B20" s="6" t="inlineStr">
        <is>
          <t>Input Value</t>
        </is>
      </c>
      <c r="C20" s="6" t="inlineStr">
        <is>
          <t>Score (0-100)</t>
        </is>
      </c>
      <c r="D20" s="6" t="inlineStr">
        <is>
          <t>Weight</t>
        </is>
      </c>
      <c r="E20" s="6" t="inlineStr">
        <is>
          <t>Weighted Score</t>
        </is>
      </c>
      <c r="F20" s="6" t="inlineStr">
        <is>
          <t>Notes</t>
        </is>
      </c>
    </row>
    <row r="21">
      <c r="A21" t="inlineStr">
        <is>
          <t>Revenue Scale</t>
        </is>
      </c>
      <c r="B21" t="inlineStr"/>
      <c r="C21" t="inlineStr"/>
      <c r="D21" t="inlineStr">
        <is>
          <t>15%</t>
        </is>
      </c>
      <c r="E21">
        <f>C21*0.15</f>
        <v/>
      </c>
      <c r="F21" t="inlineStr">
        <is>
          <t>&gt;$10B=100, $7-10B=90, $5-7B=80, $3-5B=70, $2-3B=60, &lt;$2B=45</t>
        </is>
      </c>
    </row>
    <row r="22">
      <c r="A22" t="inlineStr">
        <is>
          <t>Profitability Status</t>
        </is>
      </c>
      <c r="B22" t="inlineStr"/>
      <c r="C22" t="inlineStr"/>
      <c r="D22" t="inlineStr">
        <is>
          <t>18%</t>
        </is>
      </c>
      <c r="E22">
        <f>C22*0.18</f>
        <v/>
      </c>
      <c r="F22" t="inlineStr">
        <is>
          <t>GAAP &gt;20%=100, 15-20%=90, 10-15%=75, 5-10%=60, Non-GAAP=50</t>
        </is>
      </c>
    </row>
    <row r="23">
      <c r="A23" t="inlineStr">
        <is>
          <t>Gross Margin</t>
        </is>
      </c>
      <c r="B23" t="inlineStr"/>
      <c r="C23" t="inlineStr"/>
      <c r="D23" t="inlineStr">
        <is>
          <t>20%</t>
        </is>
      </c>
      <c r="E23">
        <f>C23*0.2</f>
        <v/>
      </c>
      <c r="F23" t="inlineStr">
        <is>
          <t>&gt;75%(SaaS)=100, 65-75%(Cloud)=90, 55-65%=80, 45-55%(Semi)=70</t>
        </is>
      </c>
    </row>
    <row r="24">
      <c r="A24" t="inlineStr">
        <is>
          <t>Op Margin Trajectory</t>
        </is>
      </c>
      <c r="B24" t="inlineStr"/>
      <c r="C24" t="inlineStr"/>
      <c r="D24" t="inlineStr">
        <is>
          <t>15%</t>
        </is>
      </c>
      <c r="E24">
        <f>C24*0.15</f>
        <v/>
      </c>
      <c r="F24" t="inlineStr">
        <is>
          <t>&gt;300bps/yr=100, 200-300=90, 100-200=80, 50-100=65, ±50=50</t>
        </is>
      </c>
    </row>
    <row r="25">
      <c r="A25" t="inlineStr">
        <is>
          <t>Customer Retention</t>
        </is>
      </c>
      <c r="B25" t="inlineStr"/>
      <c r="C25" t="inlineStr"/>
      <c r="D25" t="inlineStr">
        <is>
          <t>20%</t>
        </is>
      </c>
      <c r="E25">
        <f>C25*0.2</f>
        <v/>
      </c>
      <c r="F25" t="inlineStr">
        <is>
          <t>NRR &gt;130%=100, 120-130%=90, 110-120%=80, 100-110%=65 | Non-SaaS: use best metric</t>
        </is>
      </c>
    </row>
    <row r="26">
      <c r="A26" t="inlineStr">
        <is>
          <t>Market Position</t>
        </is>
      </c>
      <c r="B26" t="inlineStr"/>
      <c r="C26" t="inlineStr"/>
      <c r="D26" t="inlineStr">
        <is>
          <t>12%</t>
        </is>
      </c>
      <c r="E26">
        <f>C26*0.12</f>
        <v/>
      </c>
      <c r="F26" t="inlineStr">
        <is>
          <t>Base 50 + #1-2 in category=+35, Top 3-5=+25, Share gains=+25</t>
        </is>
      </c>
    </row>
    <row r="27">
      <c r="A27" s="4" t="inlineStr">
        <is>
          <t>QUALITY SCORE TOTAL</t>
        </is>
      </c>
      <c r="C27">
        <f>AVERAGE(C21:C26)</f>
        <v/>
      </c>
      <c r="E27" s="7">
        <f>SUM(E21:E26)</f>
        <v/>
      </c>
    </row>
    <row r="29">
      <c r="A29" s="5" t="inlineStr">
        <is>
          <t>Growth Score (32% weight)</t>
        </is>
      </c>
    </row>
    <row r="30">
      <c r="A30" s="6" t="inlineStr">
        <is>
          <t>Component</t>
        </is>
      </c>
      <c r="B30" s="6" t="inlineStr">
        <is>
          <t>Input Value</t>
        </is>
      </c>
      <c r="C30" s="6" t="inlineStr">
        <is>
          <t>Score (0-100)</t>
        </is>
      </c>
      <c r="D30" s="6" t="inlineStr">
        <is>
          <t>Weight</t>
        </is>
      </c>
      <c r="E30" s="6" t="inlineStr">
        <is>
          <t>Weighted Score</t>
        </is>
      </c>
      <c r="F30" s="6" t="inlineStr">
        <is>
          <t>Notes</t>
        </is>
      </c>
    </row>
    <row r="31">
      <c r="A31" t="inlineStr">
        <is>
          <t>Revenue Growth Rate</t>
        </is>
      </c>
      <c r="B31" t="inlineStr"/>
      <c r="C31" t="inlineStr"/>
      <c r="D31" t="inlineStr">
        <is>
          <t>25%</t>
        </is>
      </c>
      <c r="E31">
        <f>C31*0.25</f>
        <v/>
      </c>
      <c r="F31" t="inlineStr">
        <is>
          <t>&gt;35%=100, 28-35%=90, 22-28%=80, 18-22%=70, 15-18%=55, 12-15%=40</t>
        </is>
      </c>
    </row>
    <row r="32">
      <c r="A32" t="inlineStr">
        <is>
          <t>Growth Consistency</t>
        </is>
      </c>
      <c r="B32" t="inlineStr"/>
      <c r="C32" t="inlineStr"/>
      <c r="D32" t="inlineStr">
        <is>
          <t>15%</t>
        </is>
      </c>
      <c r="E32">
        <f>C32*0.15</f>
        <v/>
      </c>
      <c r="F32" t="inlineStr">
        <is>
          <t>3 yrs 25%+=100, 2 yrs=85, Accelerating=80, Volatile 20%+=60</t>
        </is>
      </c>
    </row>
    <row r="33">
      <c r="A33" t="inlineStr">
        <is>
          <t>Forward Growth Estimates</t>
        </is>
      </c>
      <c r="B33" t="inlineStr"/>
      <c r="C33" t="inlineStr"/>
      <c r="D33" t="inlineStr">
        <is>
          <t>20%</t>
        </is>
      </c>
      <c r="E33">
        <f>C33*0.2</f>
        <v/>
      </c>
      <c r="F33" t="inlineStr">
        <is>
          <t>&gt;30%=100, 25-30%=85, 20-25%=70, 15-20%=55 + accel bonus</t>
        </is>
      </c>
    </row>
    <row r="34">
      <c r="A34" t="inlineStr">
        <is>
          <t>EPS vs Revenue Growth</t>
        </is>
      </c>
      <c r="B34" t="inlineStr"/>
      <c r="C34" t="inlineStr"/>
      <c r="D34" t="inlineStr">
        <is>
          <t>10%</t>
        </is>
      </c>
      <c r="E34">
        <f>C34*0.1</f>
        <v/>
      </c>
      <c r="F34" t="inlineStr">
        <is>
          <t>Base 50, EPS&gt;Rev+7%=+50, ±5%=+20, &lt;Rev-5%=-20</t>
        </is>
      </c>
    </row>
    <row r="35">
      <c r="A35" t="inlineStr">
        <is>
          <t>TAM &amp; Penetration</t>
        </is>
      </c>
      <c r="B35" t="inlineStr"/>
      <c r="C35" t="inlineStr"/>
      <c r="D35" t="inlineStr">
        <is>
          <t>15%</t>
        </is>
      </c>
      <c r="E35">
        <f>C35*0.15</f>
        <v/>
      </c>
      <c r="F35" t="inlineStr">
        <is>
          <t>&gt;$100B TAM &lt;10% pen=100, $75-100B &lt;12%=90, adjust down</t>
        </is>
      </c>
    </row>
    <row r="36">
      <c r="A36" t="inlineStr">
        <is>
          <t>Growth Drivers</t>
        </is>
      </c>
      <c r="B36" t="inlineStr"/>
      <c r="C36" t="inlineStr"/>
      <c r="D36" t="inlineStr">
        <is>
          <t>10%</t>
        </is>
      </c>
      <c r="E36">
        <f>C36*0.1</f>
        <v/>
      </c>
      <c r="F36" t="inlineStr">
        <is>
          <t>Base 50 + Multiple segments=+25, Geo expand=+15, New products=+15</t>
        </is>
      </c>
    </row>
    <row r="37">
      <c r="A37" t="inlineStr">
        <is>
          <t>Cyclicality Factor</t>
        </is>
      </c>
      <c r="B37" t="inlineStr"/>
      <c r="C37" t="inlineStr"/>
      <c r="D37" t="inlineStr">
        <is>
          <t>5%</t>
        </is>
      </c>
      <c r="E37">
        <f>C37*0.05</f>
        <v/>
      </c>
      <c r="F37" t="inlineStr">
        <is>
          <t>Non-cyclical=100, Early/mid cycle=85, Late cycle secular=70</t>
        </is>
      </c>
    </row>
    <row r="38">
      <c r="A38" s="4" t="inlineStr">
        <is>
          <t>GROWTH SCORE TOTAL</t>
        </is>
      </c>
      <c r="C38">
        <f>AVERAGE(C31:C37)</f>
        <v/>
      </c>
      <c r="E38" s="7">
        <f>SUM(E31:E37)</f>
        <v/>
      </c>
    </row>
    <row r="40">
      <c r="A40" s="5" t="inlineStr">
        <is>
          <t>Momentum Score (12% weight)</t>
        </is>
      </c>
    </row>
    <row r="41">
      <c r="A41" s="6" t="inlineStr">
        <is>
          <t>Component</t>
        </is>
      </c>
      <c r="B41" s="6" t="inlineStr">
        <is>
          <t>Input Value</t>
        </is>
      </c>
      <c r="C41" s="6" t="inlineStr">
        <is>
          <t>Score (0-100)</t>
        </is>
      </c>
      <c r="D41" s="6" t="inlineStr">
        <is>
          <t>Weight</t>
        </is>
      </c>
      <c r="E41" s="6" t="inlineStr">
        <is>
          <t>Weighted Score</t>
        </is>
      </c>
      <c r="F41" s="6" t="inlineStr">
        <is>
          <t>Notes</t>
        </is>
      </c>
    </row>
    <row r="42">
      <c r="A42" t="inlineStr">
        <is>
          <t>6-Month Price Performance</t>
        </is>
      </c>
      <c r="B42" t="inlineStr"/>
      <c r="C42" t="inlineStr"/>
      <c r="D42" t="inlineStr">
        <is>
          <t>40%</t>
        </is>
      </c>
      <c r="E42">
        <f>C42*0.4</f>
        <v/>
      </c>
      <c r="F42" t="inlineStr">
        <is>
          <t>&gt;50%=100, 35-50%=85, 20-35%=70, 10-20%=50 + inst flow bonuses</t>
        </is>
      </c>
    </row>
    <row r="43">
      <c r="A43" t="inlineStr">
        <is>
          <t>Relative Strength vs QQQ</t>
        </is>
      </c>
      <c r="B43" t="inlineStr"/>
      <c r="C43" t="inlineStr"/>
      <c r="D43" t="inlineStr">
        <is>
          <t>35%</t>
        </is>
      </c>
      <c r="E43">
        <f>C43*0.35</f>
        <v/>
      </c>
      <c r="F43" t="inlineStr">
        <is>
          <t>Outperform &gt;15%=100, 8-15%=80, 0-8%=60 + analyst bonuses</t>
        </is>
      </c>
    </row>
    <row r="44">
      <c r="A44" t="inlineStr">
        <is>
          <t>Technical Setup</t>
        </is>
      </c>
      <c r="B44" t="inlineStr"/>
      <c r="C44" t="inlineStr"/>
      <c r="D44" t="inlineStr">
        <is>
          <t>25%</t>
        </is>
      </c>
      <c r="E44">
        <f>C44*0.25</f>
        <v/>
      </c>
      <c r="F44" t="inlineStr">
        <is>
          <t>Above 50&amp;200 MA=100, Above 200=70, Above 50=55, Between=50, Below=30</t>
        </is>
      </c>
    </row>
    <row r="45">
      <c r="A45" s="4" t="inlineStr">
        <is>
          <t>MOMENTUM SCORE TOTAL</t>
        </is>
      </c>
      <c r="C45">
        <f>AVERAGE(C42:C44)</f>
        <v/>
      </c>
      <c r="E45" s="7">
        <f>SUM(E42:E44)</f>
        <v/>
      </c>
    </row>
    <row r="47">
      <c r="A47" s="5" t="inlineStr">
        <is>
          <t>Scale &amp; Moat Score (10% weight)</t>
        </is>
      </c>
    </row>
    <row r="48">
      <c r="A48" s="6" t="inlineStr">
        <is>
          <t>Component</t>
        </is>
      </c>
      <c r="B48" s="6" t="inlineStr">
        <is>
          <t>Input Value</t>
        </is>
      </c>
      <c r="C48" s="6" t="inlineStr">
        <is>
          <t>Score (0-100)</t>
        </is>
      </c>
      <c r="D48" s="6" t="inlineStr">
        <is>
          <t>Weight</t>
        </is>
      </c>
      <c r="E48" s="6" t="inlineStr">
        <is>
          <t>Weighted Score</t>
        </is>
      </c>
      <c r="F48" s="6" t="inlineStr">
        <is>
          <t>Notes</t>
        </is>
      </c>
    </row>
    <row r="49">
      <c r="A49" t="inlineStr">
        <is>
          <t>Competitive Position Evolution</t>
        </is>
      </c>
      <c r="B49" t="inlineStr"/>
      <c r="C49" t="inlineStr"/>
      <c r="D49" t="inlineStr">
        <is>
          <t>35%</t>
        </is>
      </c>
      <c r="E49">
        <f>C49*0.35</f>
        <v/>
      </c>
      <c r="F49" t="inlineStr">
        <is>
          <t>Pulling away=100, Maintaining=80, Steady=60, Losing=30</t>
        </is>
      </c>
    </row>
    <row r="50">
      <c r="A50" t="inlineStr">
        <is>
          <t>Moat Development</t>
        </is>
      </c>
      <c r="B50" t="inlineStr"/>
      <c r="C50" t="inlineStr"/>
      <c r="D50" t="inlineStr">
        <is>
          <t>30%</t>
        </is>
      </c>
      <c r="E50">
        <f>C50*0.3</f>
        <v/>
      </c>
      <c r="F50" t="inlineStr">
        <is>
          <t>Base 50 + Network=+30, Switching=+25, Scale=+20, Brand=+20</t>
        </is>
      </c>
    </row>
    <row r="51">
      <c r="A51" t="inlineStr">
        <is>
          <t>Operating Leverage Inflection</t>
        </is>
      </c>
      <c r="B51" t="inlineStr"/>
      <c r="C51" t="inlineStr"/>
      <c r="D51" t="inlineStr">
        <is>
          <t>20%</t>
        </is>
      </c>
      <c r="E51">
        <f>C51*0.2</f>
        <v/>
      </c>
      <c r="F51" t="inlineStr">
        <is>
          <t>Margin &gt; Revenue growth=100, In line=75, Slower=50</t>
        </is>
      </c>
    </row>
    <row r="52">
      <c r="A52" t="inlineStr">
        <is>
          <t>Strategic Partnerships</t>
        </is>
      </c>
      <c r="B52" t="inlineStr"/>
      <c r="C52" t="inlineStr"/>
      <c r="D52" t="inlineStr">
        <is>
          <t>15%</t>
        </is>
      </c>
      <c r="E52">
        <f>C52*0.15</f>
        <v/>
      </c>
      <c r="F52" t="inlineStr">
        <is>
          <t>Base 50 + Major tech=+25, Gov=+25, Ecosystem=+20</t>
        </is>
      </c>
    </row>
    <row r="53">
      <c r="A53" s="4" t="inlineStr">
        <is>
          <t>SCALE &amp; MOAT SCORE TOTAL</t>
        </is>
      </c>
      <c r="C53">
        <f>AVERAGE(C49:C52)</f>
        <v/>
      </c>
      <c r="E53" s="7">
        <f>SUM(E49:E52)</f>
        <v/>
      </c>
    </row>
    <row r="55">
      <c r="A55" s="8" t="inlineStr">
        <is>
          <t>COMPOSITE SCORE</t>
        </is>
      </c>
      <c r="C55" s="9">
        <f>E17+E27+E38+E45+E53</f>
        <v/>
      </c>
    </row>
    <row r="56">
      <c r="A56" s="4" t="inlineStr">
        <is>
          <t>RATING</t>
        </is>
      </c>
      <c r="C56" s="10">
        <f>IF(C55&gt;=80,"Strong Buy",IF(C55&gt;=70,"Buy",IF(C55&gt;=60,"Hold","Sell")))</f>
        <v/>
      </c>
    </row>
    <row r="57">
      <c r="A57" s="4" t="inlineStr">
        <is>
          <t>Score Buffer vs Min (65)</t>
        </is>
      </c>
      <c r="C57" s="11">
        <f>C55-65</f>
        <v/>
      </c>
    </row>
    <row r="59">
      <c r="A59" s="8" t="inlineStr">
        <is>
          <t>POSITION SIZING</t>
        </is>
      </c>
    </row>
    <row r="60">
      <c r="A60" s="4" t="inlineStr">
        <is>
          <t>Target Position %</t>
        </is>
      </c>
      <c r="C60" s="12">
        <f>(7%*C55/100)/(1+(B9-1)*1.0)</f>
        <v/>
      </c>
    </row>
    <row r="61">
      <c r="A61" s="4" t="inlineStr">
        <is>
          <t>Portfolio Value ($)</t>
        </is>
      </c>
      <c r="B61" s="13" t="n">
        <v>100000</v>
      </c>
    </row>
    <row r="62">
      <c r="A62" s="4" t="inlineStr">
        <is>
          <t>Target Dollar Amount</t>
        </is>
      </c>
      <c r="C62" s="13">
        <f>C60*B61</f>
        <v/>
      </c>
    </row>
    <row r="63">
      <c r="A63" s="4" t="inlineStr">
        <is>
          <t>Current Position Value</t>
        </is>
      </c>
      <c r="B63" s="13" t="inlineStr"/>
    </row>
    <row r="64">
      <c r="A64" s="4" t="inlineStr">
        <is>
          <t>Current Position %</t>
        </is>
      </c>
      <c r="C64" s="12">
        <f>IF(B61&gt;0,B63/B61,0)</f>
        <v/>
      </c>
    </row>
    <row r="65">
      <c r="A65" s="4" t="inlineStr">
        <is>
          <t>Drift %</t>
        </is>
      </c>
      <c r="C65" s="12">
        <f>IF(C60&gt;0,(C64-C60)/C60,0)</f>
        <v/>
      </c>
    </row>
    <row r="66">
      <c r="A66" s="4" t="inlineStr">
        <is>
          <t>Action</t>
        </is>
      </c>
      <c r="C66" s="4">
        <f>IF(C65&gt;0.10,"TRIM",IF(AND(C65&lt;-0.10,C55&gt;=65+8),"ADD IF STRONG","HOLD"))</f>
        <v/>
      </c>
    </row>
  </sheetData>
  <mergeCells count="10">
    <mergeCell ref="A4:B4"/>
    <mergeCell ref="A2:F2"/>
    <mergeCell ref="A47:F47"/>
    <mergeCell ref="A59:B59"/>
    <mergeCell ref="A19:F19"/>
    <mergeCell ref="A1:F1"/>
    <mergeCell ref="A40:F40"/>
    <mergeCell ref="A12:F12"/>
    <mergeCell ref="A29:F29"/>
    <mergeCell ref="A55:B55"/>
  </mergeCells>
  <conditionalFormatting sqref="C57">
    <cfRule type="cellIs" priority="1" operator="greaterThanOrEqual" dxfId="0">
      <formula>15</formula>
    </cfRule>
    <cfRule type="cellIs" priority="2" operator="between" dxfId="1">
      <formula>5</formula>
      <formula>14</formula>
    </cfRule>
    <cfRule type="cellIs" priority="3" operator="lessThan" dxfId="2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2025-10-28T18:19:09Z</dcterms:created>
  <dcterms:modified xsi:type="dcterms:W3CDTF">2025-10-28T18:19:09Z</dcterms:modified>
</cp:coreProperties>
</file>