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0.0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1"/>
    </font>
    <font>
      <b val="1"/>
      <color rgb="00FFFFFF"/>
      <sz val="12"/>
    </font>
    <font>
      <b val="1"/>
    </font>
    <font>
      <b val="1"/>
      <color rgb="00FFFFFF"/>
      <sz val="11"/>
    </font>
    <font>
      <i val="1"/>
    </font>
    <font>
      <i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PORTFOLIO SUMMARY &amp; REBALANCING</t>
        </is>
      </c>
    </row>
    <row r="2">
      <c r="A2" s="2" t="inlineStr">
        <is>
          <t>4-Tier Quantitative Stock Scoring System</t>
        </is>
      </c>
    </row>
    <row r="4">
      <c r="A4" s="3" t="inlineStr">
        <is>
          <t>PORTFOLIO OVERVIEW</t>
        </is>
      </c>
    </row>
    <row r="5">
      <c r="A5" s="4" t="inlineStr">
        <is>
          <t>Total Portfolio Value</t>
        </is>
      </c>
      <c r="B5" s="5" t="n">
        <v>100000</v>
      </c>
    </row>
    <row r="6">
      <c r="A6" s="4" t="inlineStr">
        <is>
          <t>Cash Reserve</t>
        </is>
      </c>
      <c r="B6" s="5" t="n">
        <v>5000</v>
      </c>
    </row>
    <row r="7">
      <c r="A7" s="4" t="inlineStr">
        <is>
          <t>Invested Value</t>
        </is>
      </c>
      <c r="B7" s="5">
        <f>B5-B6</f>
        <v/>
      </c>
    </row>
    <row r="8">
      <c r="A8" s="4" t="inlineStr">
        <is>
          <t>Number of Positions</t>
        </is>
      </c>
      <c r="B8">
        <f>COUNTA(A13:A32)</f>
        <v/>
      </c>
    </row>
    <row r="10">
      <c r="A10" s="3" t="inlineStr">
        <is>
          <t>CURRENT HOLDINGS</t>
        </is>
      </c>
    </row>
    <row r="11">
      <c r="A11" s="6" t="inlineStr">
        <is>
          <t>Ticker</t>
        </is>
      </c>
      <c r="B11" s="6" t="inlineStr">
        <is>
          <t>Tier</t>
        </is>
      </c>
      <c r="C11" s="6" t="inlineStr">
        <is>
          <t>Score</t>
        </is>
      </c>
      <c r="D11" s="6" t="inlineStr">
        <is>
          <t>Min Score</t>
        </is>
      </c>
      <c r="E11" s="6" t="inlineStr">
        <is>
          <t>Buffer</t>
        </is>
      </c>
      <c r="F11" s="6" t="inlineStr">
        <is>
          <t>Current Value</t>
        </is>
      </c>
      <c r="G11" s="6" t="inlineStr">
        <is>
          <t>Current %</t>
        </is>
      </c>
      <c r="H11" s="6" t="inlineStr">
        <is>
          <t>Target %</t>
        </is>
      </c>
      <c r="I11" s="6" t="inlineStr">
        <is>
          <t>Drift %</t>
        </is>
      </c>
      <c r="J11" s="6" t="inlineStr">
        <is>
          <t>Action</t>
        </is>
      </c>
      <c r="K11" s="6" t="inlineStr">
        <is>
          <t>Entry Price</t>
        </is>
      </c>
      <c r="L11" s="6" t="inlineStr">
        <is>
          <t>Current Price</t>
        </is>
      </c>
    </row>
    <row r="12">
      <c r="A12" t="inlineStr"/>
      <c r="B12" t="inlineStr"/>
      <c r="C12" t="inlineStr"/>
      <c r="D12">
        <f>IF(B12=1,60,IF(B12=2,65,IF(B12=3,67,IF(B12=4,70,""))))</f>
        <v/>
      </c>
      <c r="E12">
        <f>IF(C12&lt;&gt;"",C12-D12,"")</f>
        <v/>
      </c>
      <c r="F12" s="5" t="inlineStr"/>
      <c r="G12" s="7">
        <f>IF(F12&lt;&gt;"",F12/B5,"")</f>
        <v/>
      </c>
      <c r="H12" s="7" t="inlineStr"/>
      <c r="I12" s="7">
        <f>IF(AND(G12&lt;&gt;"",H12&lt;&gt;""),(G12-H12)/H12,"")</f>
        <v/>
      </c>
      <c r="J12">
        <f>IF(I12&gt;0.10,"TRIM",IF(AND(I12&lt;-0.10,E12&gt;=8),"ADD","HOLD"))</f>
        <v/>
      </c>
      <c r="K12" s="8" t="inlineStr"/>
      <c r="L12" s="8" t="inlineStr"/>
    </row>
    <row r="13">
      <c r="A13" t="inlineStr"/>
      <c r="B13" t="inlineStr"/>
      <c r="C13" t="inlineStr"/>
      <c r="D13">
        <f>IF(B13=1,60,IF(B13=2,65,IF(B13=3,67,IF(B13=4,70,""))))</f>
        <v/>
      </c>
      <c r="E13">
        <f>IF(C13&lt;&gt;"",C13-D13,"")</f>
        <v/>
      </c>
      <c r="F13" s="5" t="inlineStr"/>
      <c r="G13" s="7">
        <f>IF(F13&lt;&gt;"",F13/B5,"")</f>
        <v/>
      </c>
      <c r="H13" s="7" t="inlineStr"/>
      <c r="I13" s="7">
        <f>IF(AND(G13&lt;&gt;"",H13&lt;&gt;""),(G13-H13)/H13,"")</f>
        <v/>
      </c>
      <c r="J13">
        <f>IF(I13&gt;0.10,"TRIM",IF(AND(I13&lt;-0.10,E13&gt;=8),"ADD","HOLD"))</f>
        <v/>
      </c>
      <c r="K13" s="8" t="inlineStr"/>
      <c r="L13" s="8" t="inlineStr"/>
    </row>
    <row r="14">
      <c r="A14" t="inlineStr"/>
      <c r="B14" t="inlineStr"/>
      <c r="C14" t="inlineStr"/>
      <c r="D14">
        <f>IF(B14=1,60,IF(B14=2,65,IF(B14=3,67,IF(B14=4,70,""))))</f>
        <v/>
      </c>
      <c r="E14">
        <f>IF(C14&lt;&gt;"",C14-D14,"")</f>
        <v/>
      </c>
      <c r="F14" s="5" t="inlineStr"/>
      <c r="G14" s="7">
        <f>IF(F14&lt;&gt;"",F14/B5,"")</f>
        <v/>
      </c>
      <c r="H14" s="7" t="inlineStr"/>
      <c r="I14" s="7">
        <f>IF(AND(G14&lt;&gt;"",H14&lt;&gt;""),(G14-H14)/H14,"")</f>
        <v/>
      </c>
      <c r="J14">
        <f>IF(I14&gt;0.10,"TRIM",IF(AND(I14&lt;-0.10,E14&gt;=8),"ADD","HOLD"))</f>
        <v/>
      </c>
      <c r="K14" s="8" t="inlineStr"/>
      <c r="L14" s="8" t="inlineStr"/>
    </row>
    <row r="15">
      <c r="A15" t="inlineStr"/>
      <c r="B15" t="inlineStr"/>
      <c r="C15" t="inlineStr"/>
      <c r="D15">
        <f>IF(B15=1,60,IF(B15=2,65,IF(B15=3,67,IF(B15=4,70,""))))</f>
        <v/>
      </c>
      <c r="E15">
        <f>IF(C15&lt;&gt;"",C15-D15,"")</f>
        <v/>
      </c>
      <c r="F15" s="5" t="inlineStr"/>
      <c r="G15" s="7">
        <f>IF(F15&lt;&gt;"",F15/B5,"")</f>
        <v/>
      </c>
      <c r="H15" s="7" t="inlineStr"/>
      <c r="I15" s="7">
        <f>IF(AND(G15&lt;&gt;"",H15&lt;&gt;""),(G15-H15)/H15,"")</f>
        <v/>
      </c>
      <c r="J15">
        <f>IF(I15&gt;0.10,"TRIM",IF(AND(I15&lt;-0.10,E15&gt;=8),"ADD","HOLD"))</f>
        <v/>
      </c>
      <c r="K15" s="8" t="inlineStr"/>
      <c r="L15" s="8" t="inlineStr"/>
    </row>
    <row r="16">
      <c r="A16" t="inlineStr"/>
      <c r="B16" t="inlineStr"/>
      <c r="C16" t="inlineStr"/>
      <c r="D16">
        <f>IF(B16=1,60,IF(B16=2,65,IF(B16=3,67,IF(B16=4,70,""))))</f>
        <v/>
      </c>
      <c r="E16">
        <f>IF(C16&lt;&gt;"",C16-D16,"")</f>
        <v/>
      </c>
      <c r="F16" s="5" t="inlineStr"/>
      <c r="G16" s="7">
        <f>IF(F16&lt;&gt;"",F16/B5,"")</f>
        <v/>
      </c>
      <c r="H16" s="7" t="inlineStr"/>
      <c r="I16" s="7">
        <f>IF(AND(G16&lt;&gt;"",H16&lt;&gt;""),(G16-H16)/H16,"")</f>
        <v/>
      </c>
      <c r="J16">
        <f>IF(I16&gt;0.10,"TRIM",IF(AND(I16&lt;-0.10,E16&gt;=8),"ADD","HOLD"))</f>
        <v/>
      </c>
      <c r="K16" s="8" t="inlineStr"/>
      <c r="L16" s="8" t="inlineStr"/>
    </row>
    <row r="17">
      <c r="A17" t="inlineStr"/>
      <c r="B17" t="inlineStr"/>
      <c r="C17" t="inlineStr"/>
      <c r="D17">
        <f>IF(B17=1,60,IF(B17=2,65,IF(B17=3,67,IF(B17=4,70,""))))</f>
        <v/>
      </c>
      <c r="E17">
        <f>IF(C17&lt;&gt;"",C17-D17,"")</f>
        <v/>
      </c>
      <c r="F17" s="5" t="inlineStr"/>
      <c r="G17" s="7">
        <f>IF(F17&lt;&gt;"",F17/B5,"")</f>
        <v/>
      </c>
      <c r="H17" s="7" t="inlineStr"/>
      <c r="I17" s="7">
        <f>IF(AND(G17&lt;&gt;"",H17&lt;&gt;""),(G17-H17)/H17,"")</f>
        <v/>
      </c>
      <c r="J17">
        <f>IF(I17&gt;0.10,"TRIM",IF(AND(I17&lt;-0.10,E17&gt;=8),"ADD","HOLD"))</f>
        <v/>
      </c>
      <c r="K17" s="8" t="inlineStr"/>
      <c r="L17" s="8" t="inlineStr"/>
    </row>
    <row r="18">
      <c r="A18" t="inlineStr"/>
      <c r="B18" t="inlineStr"/>
      <c r="C18" t="inlineStr"/>
      <c r="D18">
        <f>IF(B18=1,60,IF(B18=2,65,IF(B18=3,67,IF(B18=4,70,""))))</f>
        <v/>
      </c>
      <c r="E18">
        <f>IF(C18&lt;&gt;"",C18-D18,"")</f>
        <v/>
      </c>
      <c r="F18" s="5" t="inlineStr"/>
      <c r="G18" s="7">
        <f>IF(F18&lt;&gt;"",F18/B5,"")</f>
        <v/>
      </c>
      <c r="H18" s="7" t="inlineStr"/>
      <c r="I18" s="7">
        <f>IF(AND(G18&lt;&gt;"",H18&lt;&gt;""),(G18-H18)/H18,"")</f>
        <v/>
      </c>
      <c r="J18">
        <f>IF(I18&gt;0.10,"TRIM",IF(AND(I18&lt;-0.10,E18&gt;=8),"ADD","HOLD"))</f>
        <v/>
      </c>
      <c r="K18" s="8" t="inlineStr"/>
      <c r="L18" s="8" t="inlineStr"/>
    </row>
    <row r="19">
      <c r="A19" t="inlineStr"/>
      <c r="B19" t="inlineStr"/>
      <c r="C19" t="inlineStr"/>
      <c r="D19">
        <f>IF(B19=1,60,IF(B19=2,65,IF(B19=3,67,IF(B19=4,70,""))))</f>
        <v/>
      </c>
      <c r="E19">
        <f>IF(C19&lt;&gt;"",C19-D19,"")</f>
        <v/>
      </c>
      <c r="F19" s="5" t="inlineStr"/>
      <c r="G19" s="7">
        <f>IF(F19&lt;&gt;"",F19/B5,"")</f>
        <v/>
      </c>
      <c r="H19" s="7" t="inlineStr"/>
      <c r="I19" s="7">
        <f>IF(AND(G19&lt;&gt;"",H19&lt;&gt;""),(G19-H19)/H19,"")</f>
        <v/>
      </c>
      <c r="J19">
        <f>IF(I19&gt;0.10,"TRIM",IF(AND(I19&lt;-0.10,E19&gt;=8),"ADD","HOLD"))</f>
        <v/>
      </c>
      <c r="K19" s="8" t="inlineStr"/>
      <c r="L19" s="8" t="inlineStr"/>
    </row>
    <row r="20">
      <c r="A20" t="inlineStr"/>
      <c r="B20" t="inlineStr"/>
      <c r="C20" t="inlineStr"/>
      <c r="D20">
        <f>IF(B20=1,60,IF(B20=2,65,IF(B20=3,67,IF(B20=4,70,""))))</f>
        <v/>
      </c>
      <c r="E20">
        <f>IF(C20&lt;&gt;"",C20-D20,"")</f>
        <v/>
      </c>
      <c r="F20" s="5" t="inlineStr"/>
      <c r="G20" s="7">
        <f>IF(F20&lt;&gt;"",F20/B5,"")</f>
        <v/>
      </c>
      <c r="H20" s="7" t="inlineStr"/>
      <c r="I20" s="7">
        <f>IF(AND(G20&lt;&gt;"",H20&lt;&gt;""),(G20-H20)/H20,"")</f>
        <v/>
      </c>
      <c r="J20">
        <f>IF(I20&gt;0.10,"TRIM",IF(AND(I20&lt;-0.10,E20&gt;=8),"ADD","HOLD"))</f>
        <v/>
      </c>
      <c r="K20" s="8" t="inlineStr"/>
      <c r="L20" s="8" t="inlineStr"/>
    </row>
    <row r="21">
      <c r="A21" t="inlineStr"/>
      <c r="B21" t="inlineStr"/>
      <c r="C21" t="inlineStr"/>
      <c r="D21">
        <f>IF(B21=1,60,IF(B21=2,65,IF(B21=3,67,IF(B21=4,70,""))))</f>
        <v/>
      </c>
      <c r="E21">
        <f>IF(C21&lt;&gt;"",C21-D21,"")</f>
        <v/>
      </c>
      <c r="F21" s="5" t="inlineStr"/>
      <c r="G21" s="7">
        <f>IF(F21&lt;&gt;"",F21/B5,"")</f>
        <v/>
      </c>
      <c r="H21" s="7" t="inlineStr"/>
      <c r="I21" s="7">
        <f>IF(AND(G21&lt;&gt;"",H21&lt;&gt;""),(G21-H21)/H21,"")</f>
        <v/>
      </c>
      <c r="J21">
        <f>IF(I21&gt;0.10,"TRIM",IF(AND(I21&lt;-0.10,E21&gt;=8),"ADD","HOLD"))</f>
        <v/>
      </c>
      <c r="K21" s="8" t="inlineStr"/>
      <c r="L21" s="8" t="inlineStr"/>
    </row>
    <row r="22">
      <c r="A22" t="inlineStr"/>
      <c r="B22" t="inlineStr"/>
      <c r="C22" t="inlineStr"/>
      <c r="D22">
        <f>IF(B22=1,60,IF(B22=2,65,IF(B22=3,67,IF(B22=4,70,""))))</f>
        <v/>
      </c>
      <c r="E22">
        <f>IF(C22&lt;&gt;"",C22-D22,"")</f>
        <v/>
      </c>
      <c r="F22" s="5" t="inlineStr"/>
      <c r="G22" s="7">
        <f>IF(F22&lt;&gt;"",F22/B5,"")</f>
        <v/>
      </c>
      <c r="H22" s="7" t="inlineStr"/>
      <c r="I22" s="7">
        <f>IF(AND(G22&lt;&gt;"",H22&lt;&gt;""),(G22-H22)/H22,"")</f>
        <v/>
      </c>
      <c r="J22">
        <f>IF(I22&gt;0.10,"TRIM",IF(AND(I22&lt;-0.10,E22&gt;=8),"ADD","HOLD"))</f>
        <v/>
      </c>
      <c r="K22" s="8" t="inlineStr"/>
      <c r="L22" s="8" t="inlineStr"/>
    </row>
    <row r="23">
      <c r="A23" t="inlineStr"/>
      <c r="B23" t="inlineStr"/>
      <c r="C23" t="inlineStr"/>
      <c r="D23">
        <f>IF(B23=1,60,IF(B23=2,65,IF(B23=3,67,IF(B23=4,70,""))))</f>
        <v/>
      </c>
      <c r="E23">
        <f>IF(C23&lt;&gt;"",C23-D23,"")</f>
        <v/>
      </c>
      <c r="F23" s="5" t="inlineStr"/>
      <c r="G23" s="7">
        <f>IF(F23&lt;&gt;"",F23/B5,"")</f>
        <v/>
      </c>
      <c r="H23" s="7" t="inlineStr"/>
      <c r="I23" s="7">
        <f>IF(AND(G23&lt;&gt;"",H23&lt;&gt;""),(G23-H23)/H23,"")</f>
        <v/>
      </c>
      <c r="J23">
        <f>IF(I23&gt;0.10,"TRIM",IF(AND(I23&lt;-0.10,E23&gt;=8),"ADD","HOLD"))</f>
        <v/>
      </c>
      <c r="K23" s="8" t="inlineStr"/>
      <c r="L23" s="8" t="inlineStr"/>
    </row>
    <row r="24">
      <c r="A24" t="inlineStr"/>
      <c r="B24" t="inlineStr"/>
      <c r="C24" t="inlineStr"/>
      <c r="D24">
        <f>IF(B24=1,60,IF(B24=2,65,IF(B24=3,67,IF(B24=4,70,""))))</f>
        <v/>
      </c>
      <c r="E24">
        <f>IF(C24&lt;&gt;"",C24-D24,"")</f>
        <v/>
      </c>
      <c r="F24" s="5" t="inlineStr"/>
      <c r="G24" s="7">
        <f>IF(F24&lt;&gt;"",F24/B5,"")</f>
        <v/>
      </c>
      <c r="H24" s="7" t="inlineStr"/>
      <c r="I24" s="7">
        <f>IF(AND(G24&lt;&gt;"",H24&lt;&gt;""),(G24-H24)/H24,"")</f>
        <v/>
      </c>
      <c r="J24">
        <f>IF(I24&gt;0.10,"TRIM",IF(AND(I24&lt;-0.10,E24&gt;=8),"ADD","HOLD"))</f>
        <v/>
      </c>
      <c r="K24" s="8" t="inlineStr"/>
      <c r="L24" s="8" t="inlineStr"/>
    </row>
    <row r="25">
      <c r="A25" t="inlineStr"/>
      <c r="B25" t="inlineStr"/>
      <c r="C25" t="inlineStr"/>
      <c r="D25">
        <f>IF(B25=1,60,IF(B25=2,65,IF(B25=3,67,IF(B25=4,70,""))))</f>
        <v/>
      </c>
      <c r="E25">
        <f>IF(C25&lt;&gt;"",C25-D25,"")</f>
        <v/>
      </c>
      <c r="F25" s="5" t="inlineStr"/>
      <c r="G25" s="7">
        <f>IF(F25&lt;&gt;"",F25/B5,"")</f>
        <v/>
      </c>
      <c r="H25" s="7" t="inlineStr"/>
      <c r="I25" s="7">
        <f>IF(AND(G25&lt;&gt;"",H25&lt;&gt;""),(G25-H25)/H25,"")</f>
        <v/>
      </c>
      <c r="J25">
        <f>IF(I25&gt;0.10,"TRIM",IF(AND(I25&lt;-0.10,E25&gt;=8),"ADD","HOLD"))</f>
        <v/>
      </c>
      <c r="K25" s="8" t="inlineStr"/>
      <c r="L25" s="8" t="inlineStr"/>
    </row>
    <row r="26">
      <c r="A26" t="inlineStr"/>
      <c r="B26" t="inlineStr"/>
      <c r="C26" t="inlineStr"/>
      <c r="D26">
        <f>IF(B26=1,60,IF(B26=2,65,IF(B26=3,67,IF(B26=4,70,""))))</f>
        <v/>
      </c>
      <c r="E26">
        <f>IF(C26&lt;&gt;"",C26-D26,"")</f>
        <v/>
      </c>
      <c r="F26" s="5" t="inlineStr"/>
      <c r="G26" s="7">
        <f>IF(F26&lt;&gt;"",F26/B5,"")</f>
        <v/>
      </c>
      <c r="H26" s="7" t="inlineStr"/>
      <c r="I26" s="7">
        <f>IF(AND(G26&lt;&gt;"",H26&lt;&gt;""),(G26-H26)/H26,"")</f>
        <v/>
      </c>
      <c r="J26">
        <f>IF(I26&gt;0.10,"TRIM",IF(AND(I26&lt;-0.10,E26&gt;=8),"ADD","HOLD"))</f>
        <v/>
      </c>
      <c r="K26" s="8" t="inlineStr"/>
      <c r="L26" s="8" t="inlineStr"/>
    </row>
    <row r="27">
      <c r="A27" t="inlineStr"/>
      <c r="B27" t="inlineStr"/>
      <c r="C27" t="inlineStr"/>
      <c r="D27">
        <f>IF(B27=1,60,IF(B27=2,65,IF(B27=3,67,IF(B27=4,70,""))))</f>
        <v/>
      </c>
      <c r="E27">
        <f>IF(C27&lt;&gt;"",C27-D27,"")</f>
        <v/>
      </c>
      <c r="F27" s="5" t="inlineStr"/>
      <c r="G27" s="7">
        <f>IF(F27&lt;&gt;"",F27/B5,"")</f>
        <v/>
      </c>
      <c r="H27" s="7" t="inlineStr"/>
      <c r="I27" s="7">
        <f>IF(AND(G27&lt;&gt;"",H27&lt;&gt;""),(G27-H27)/H27,"")</f>
        <v/>
      </c>
      <c r="J27">
        <f>IF(I27&gt;0.10,"TRIM",IF(AND(I27&lt;-0.10,E27&gt;=8),"ADD","HOLD"))</f>
        <v/>
      </c>
      <c r="K27" s="8" t="inlineStr"/>
      <c r="L27" s="8" t="inlineStr"/>
    </row>
    <row r="28">
      <c r="A28" t="inlineStr"/>
      <c r="B28" t="inlineStr"/>
      <c r="C28" t="inlineStr"/>
      <c r="D28">
        <f>IF(B28=1,60,IF(B28=2,65,IF(B28=3,67,IF(B28=4,70,""))))</f>
        <v/>
      </c>
      <c r="E28">
        <f>IF(C28&lt;&gt;"",C28-D28,"")</f>
        <v/>
      </c>
      <c r="F28" s="5" t="inlineStr"/>
      <c r="G28" s="7">
        <f>IF(F28&lt;&gt;"",F28/B5,"")</f>
        <v/>
      </c>
      <c r="H28" s="7" t="inlineStr"/>
      <c r="I28" s="7">
        <f>IF(AND(G28&lt;&gt;"",H28&lt;&gt;""),(G28-H28)/H28,"")</f>
        <v/>
      </c>
      <c r="J28">
        <f>IF(I28&gt;0.10,"TRIM",IF(AND(I28&lt;-0.10,E28&gt;=8),"ADD","HOLD"))</f>
        <v/>
      </c>
      <c r="K28" s="8" t="inlineStr"/>
      <c r="L28" s="8" t="inlineStr"/>
    </row>
    <row r="29">
      <c r="A29" t="inlineStr"/>
      <c r="B29" t="inlineStr"/>
      <c r="C29" t="inlineStr"/>
      <c r="D29">
        <f>IF(B29=1,60,IF(B29=2,65,IF(B29=3,67,IF(B29=4,70,""))))</f>
        <v/>
      </c>
      <c r="E29">
        <f>IF(C29&lt;&gt;"",C29-D29,"")</f>
        <v/>
      </c>
      <c r="F29" s="5" t="inlineStr"/>
      <c r="G29" s="7">
        <f>IF(F29&lt;&gt;"",F29/B5,"")</f>
        <v/>
      </c>
      <c r="H29" s="7" t="inlineStr"/>
      <c r="I29" s="7">
        <f>IF(AND(G29&lt;&gt;"",H29&lt;&gt;""),(G29-H29)/H29,"")</f>
        <v/>
      </c>
      <c r="J29">
        <f>IF(I29&gt;0.10,"TRIM",IF(AND(I29&lt;-0.10,E29&gt;=8),"ADD","HOLD"))</f>
        <v/>
      </c>
      <c r="K29" s="8" t="inlineStr"/>
      <c r="L29" s="8" t="inlineStr"/>
    </row>
    <row r="30">
      <c r="A30" t="inlineStr"/>
      <c r="B30" t="inlineStr"/>
      <c r="C30" t="inlineStr"/>
      <c r="D30">
        <f>IF(B30=1,60,IF(B30=2,65,IF(B30=3,67,IF(B30=4,70,""))))</f>
        <v/>
      </c>
      <c r="E30">
        <f>IF(C30&lt;&gt;"",C30-D30,"")</f>
        <v/>
      </c>
      <c r="F30" s="5" t="inlineStr"/>
      <c r="G30" s="7">
        <f>IF(F30&lt;&gt;"",F30/B5,"")</f>
        <v/>
      </c>
      <c r="H30" s="7" t="inlineStr"/>
      <c r="I30" s="7">
        <f>IF(AND(G30&lt;&gt;"",H30&lt;&gt;""),(G30-H30)/H30,"")</f>
        <v/>
      </c>
      <c r="J30">
        <f>IF(I30&gt;0.10,"TRIM",IF(AND(I30&lt;-0.10,E30&gt;=8),"ADD","HOLD"))</f>
        <v/>
      </c>
      <c r="K30" s="8" t="inlineStr"/>
      <c r="L30" s="8" t="inlineStr"/>
    </row>
    <row r="31">
      <c r="A31" t="inlineStr"/>
      <c r="B31" t="inlineStr"/>
      <c r="C31" t="inlineStr"/>
      <c r="D31">
        <f>IF(B31=1,60,IF(B31=2,65,IF(B31=3,67,IF(B31=4,70,""))))</f>
        <v/>
      </c>
      <c r="E31">
        <f>IF(C31&lt;&gt;"",C31-D31,"")</f>
        <v/>
      </c>
      <c r="F31" s="5" t="inlineStr"/>
      <c r="G31" s="7">
        <f>IF(F31&lt;&gt;"",F31/B5,"")</f>
        <v/>
      </c>
      <c r="H31" s="7" t="inlineStr"/>
      <c r="I31" s="7">
        <f>IF(AND(G31&lt;&gt;"",H31&lt;&gt;""),(G31-H31)/H31,"")</f>
        <v/>
      </c>
      <c r="J31">
        <f>IF(I31&gt;0.10,"TRIM",IF(AND(I31&lt;-0.10,E31&gt;=8),"ADD","HOLD"))</f>
        <v/>
      </c>
      <c r="K31" s="8" t="inlineStr"/>
      <c r="L31" s="8" t="inlineStr"/>
    </row>
    <row r="33">
      <c r="A33" s="3" t="inlineStr">
        <is>
          <t>TIER ALLOCATION SUMMARY</t>
        </is>
      </c>
    </row>
    <row r="34">
      <c r="A34" s="6" t="inlineStr">
        <is>
          <t>Tier</t>
        </is>
      </c>
      <c r="B34" s="6" t="inlineStr">
        <is>
          <t>Target %</t>
        </is>
      </c>
      <c r="C34" s="6" t="inlineStr">
        <is>
          <t>Current %</t>
        </is>
      </c>
      <c r="D34" s="6" t="inlineStr">
        <is>
          <t>Difference</t>
        </is>
      </c>
      <c r="E34" s="6" t="inlineStr">
        <is>
          <t>Status</t>
        </is>
      </c>
    </row>
    <row r="35">
      <c r="A35" t="inlineStr">
        <is>
          <t>Tier 1: Mega-Cap Core</t>
        </is>
      </c>
      <c r="B35" t="inlineStr">
        <is>
          <t>45%</t>
        </is>
      </c>
      <c r="C35" s="7">
        <f>SUMIF($B$12:$B$31,1,$G$12:$G$31)</f>
        <v/>
      </c>
      <c r="D35" s="7">
        <f>C35-B35</f>
        <v/>
      </c>
      <c r="E35">
        <f>IF(ABS(D35)&lt;0.05,"✓ On Target",IF(D35&gt;0,"Overweight","Underweight"))</f>
        <v/>
      </c>
    </row>
    <row r="36">
      <c r="A36" t="inlineStr">
        <is>
          <t>Tier 2: Large-Cap Growth</t>
        </is>
      </c>
      <c r="B36" t="inlineStr">
        <is>
          <t>28%</t>
        </is>
      </c>
      <c r="C36" s="7">
        <f>SUMIF($B$12:$B$31,2,$G$12:$G$31)</f>
        <v/>
      </c>
      <c r="D36" s="7">
        <f>C36-B36</f>
        <v/>
      </c>
      <c r="E36">
        <f>IF(ABS(D36)&lt;0.05,"✓ On Target",IF(D36&gt;0,"Overweight","Underweight"))</f>
        <v/>
      </c>
    </row>
    <row r="37">
      <c r="A37" t="inlineStr">
        <is>
          <t>Tier 3: Mid-Cap Emerging</t>
        </is>
      </c>
      <c r="B37" t="inlineStr">
        <is>
          <t>15%</t>
        </is>
      </c>
      <c r="C37" s="7">
        <f>SUMIF($B$12:$B$31,3,$G$12:$G$31)</f>
        <v/>
      </c>
      <c r="D37" s="7">
        <f>C37-B37</f>
        <v/>
      </c>
      <c r="E37">
        <f>IF(ABS(D37)&lt;0.05,"✓ On Target",IF(D37&gt;0,"Overweight","Underweight"))</f>
        <v/>
      </c>
    </row>
    <row r="38">
      <c r="A38" t="inlineStr">
        <is>
          <t>Tier 4: Small-Cap Moonshots</t>
        </is>
      </c>
      <c r="B38" t="inlineStr">
        <is>
          <t>7%</t>
        </is>
      </c>
      <c r="C38" s="7">
        <f>SUMIF($B$12:$B$31,4,$G$12:$G$31)</f>
        <v/>
      </c>
      <c r="D38" s="7">
        <f>C38-B38</f>
        <v/>
      </c>
      <c r="E38">
        <f>IF(ABS(D38)&lt;0.05,"✓ On Target",IF(D38&gt;0,"Overweight","Underweight"))</f>
        <v/>
      </c>
    </row>
    <row r="41">
      <c r="A41" s="9" t="inlineStr">
        <is>
          <t>EXIT RULES &amp; WARNINGS</t>
        </is>
      </c>
    </row>
    <row r="42">
      <c r="A42" s="10" t="inlineStr">
        <is>
          <t>2-QUARTER RULE: Exit if score &lt; tier minimum for 2 consecutive quarters</t>
        </is>
      </c>
    </row>
    <row r="43">
      <c r="A43" s="11" t="inlineStr">
        <is>
          <t>TIER 4 ONLY: MANDATORY -40% stop loss from entry price</t>
        </is>
      </c>
    </row>
  </sheetData>
  <mergeCells count="8">
    <mergeCell ref="A2:L2"/>
    <mergeCell ref="A10:L10"/>
    <mergeCell ref="A43:E43"/>
    <mergeCell ref="A4:D4"/>
    <mergeCell ref="A42:E42"/>
    <mergeCell ref="A1:L1"/>
    <mergeCell ref="A41:E41"/>
    <mergeCell ref="A33:E33"/>
  </mergeCells>
  <conditionalFormatting sqref="E12">
    <cfRule type="cellIs" priority="1" operator="greaterThanOrEqual" dxfId="0">
      <formula>15</formula>
    </cfRule>
    <cfRule type="cellIs" priority="2" operator="between" dxfId="1">
      <formula>5</formula>
      <formula>14</formula>
    </cfRule>
    <cfRule type="cellIs" priority="3" operator="lessThan" dxfId="2">
      <formula>5</formula>
    </cfRule>
  </conditionalFormatting>
  <conditionalFormatting sqref="E13">
    <cfRule type="cellIs" priority="4" operator="greaterThanOrEqual" dxfId="0">
      <formula>15</formula>
    </cfRule>
    <cfRule type="cellIs" priority="5" operator="between" dxfId="1">
      <formula>5</formula>
      <formula>14</formula>
    </cfRule>
    <cfRule type="cellIs" priority="6" operator="lessThan" dxfId="2">
      <formula>5</formula>
    </cfRule>
  </conditionalFormatting>
  <conditionalFormatting sqref="E14">
    <cfRule type="cellIs" priority="7" operator="greaterThanOrEqual" dxfId="0">
      <formula>15</formula>
    </cfRule>
    <cfRule type="cellIs" priority="8" operator="between" dxfId="1">
      <formula>5</formula>
      <formula>14</formula>
    </cfRule>
    <cfRule type="cellIs" priority="9" operator="lessThan" dxfId="2">
      <formula>5</formula>
    </cfRule>
  </conditionalFormatting>
  <conditionalFormatting sqref="E15">
    <cfRule type="cellIs" priority="10" operator="greaterThanOrEqual" dxfId="0">
      <formula>15</formula>
    </cfRule>
    <cfRule type="cellIs" priority="11" operator="between" dxfId="1">
      <formula>5</formula>
      <formula>14</formula>
    </cfRule>
    <cfRule type="cellIs" priority="12" operator="lessThan" dxfId="2">
      <formula>5</formula>
    </cfRule>
  </conditionalFormatting>
  <conditionalFormatting sqref="E16">
    <cfRule type="cellIs" priority="13" operator="greaterThanOrEqual" dxfId="0">
      <formula>15</formula>
    </cfRule>
    <cfRule type="cellIs" priority="14" operator="between" dxfId="1">
      <formula>5</formula>
      <formula>14</formula>
    </cfRule>
    <cfRule type="cellIs" priority="15" operator="lessThan" dxfId="2">
      <formula>5</formula>
    </cfRule>
  </conditionalFormatting>
  <conditionalFormatting sqref="E17">
    <cfRule type="cellIs" priority="16" operator="greaterThanOrEqual" dxfId="0">
      <formula>15</formula>
    </cfRule>
    <cfRule type="cellIs" priority="17" operator="between" dxfId="1">
      <formula>5</formula>
      <formula>14</formula>
    </cfRule>
    <cfRule type="cellIs" priority="18" operator="lessThan" dxfId="2">
      <formula>5</formula>
    </cfRule>
  </conditionalFormatting>
  <conditionalFormatting sqref="E18">
    <cfRule type="cellIs" priority="19" operator="greaterThanOrEqual" dxfId="0">
      <formula>15</formula>
    </cfRule>
    <cfRule type="cellIs" priority="20" operator="between" dxfId="1">
      <formula>5</formula>
      <formula>14</formula>
    </cfRule>
    <cfRule type="cellIs" priority="21" operator="lessThan" dxfId="2">
      <formula>5</formula>
    </cfRule>
  </conditionalFormatting>
  <conditionalFormatting sqref="E19">
    <cfRule type="cellIs" priority="22" operator="greaterThanOrEqual" dxfId="0">
      <formula>15</formula>
    </cfRule>
    <cfRule type="cellIs" priority="23" operator="between" dxfId="1">
      <formula>5</formula>
      <formula>14</formula>
    </cfRule>
    <cfRule type="cellIs" priority="24" operator="lessThan" dxfId="2">
      <formula>5</formula>
    </cfRule>
  </conditionalFormatting>
  <conditionalFormatting sqref="E20">
    <cfRule type="cellIs" priority="25" operator="greaterThanOrEqual" dxfId="0">
      <formula>15</formula>
    </cfRule>
    <cfRule type="cellIs" priority="26" operator="between" dxfId="1">
      <formula>5</formula>
      <formula>14</formula>
    </cfRule>
    <cfRule type="cellIs" priority="27" operator="lessThan" dxfId="2">
      <formula>5</formula>
    </cfRule>
  </conditionalFormatting>
  <conditionalFormatting sqref="E21">
    <cfRule type="cellIs" priority="28" operator="greaterThanOrEqual" dxfId="0">
      <formula>15</formula>
    </cfRule>
    <cfRule type="cellIs" priority="29" operator="between" dxfId="1">
      <formula>5</formula>
      <formula>14</formula>
    </cfRule>
    <cfRule type="cellIs" priority="30" operator="lessThan" dxfId="2">
      <formula>5</formula>
    </cfRule>
  </conditionalFormatting>
  <conditionalFormatting sqref="E22">
    <cfRule type="cellIs" priority="31" operator="greaterThanOrEqual" dxfId="0">
      <formula>15</formula>
    </cfRule>
    <cfRule type="cellIs" priority="32" operator="between" dxfId="1">
      <formula>5</formula>
      <formula>14</formula>
    </cfRule>
    <cfRule type="cellIs" priority="33" operator="lessThan" dxfId="2">
      <formula>5</formula>
    </cfRule>
  </conditionalFormatting>
  <conditionalFormatting sqref="E23">
    <cfRule type="cellIs" priority="34" operator="greaterThanOrEqual" dxfId="0">
      <formula>15</formula>
    </cfRule>
    <cfRule type="cellIs" priority="35" operator="between" dxfId="1">
      <formula>5</formula>
      <formula>14</formula>
    </cfRule>
    <cfRule type="cellIs" priority="36" operator="lessThan" dxfId="2">
      <formula>5</formula>
    </cfRule>
  </conditionalFormatting>
  <conditionalFormatting sqref="E24">
    <cfRule type="cellIs" priority="37" operator="greaterThanOrEqual" dxfId="0">
      <formula>15</formula>
    </cfRule>
    <cfRule type="cellIs" priority="38" operator="between" dxfId="1">
      <formula>5</formula>
      <formula>14</formula>
    </cfRule>
    <cfRule type="cellIs" priority="39" operator="lessThan" dxfId="2">
      <formula>5</formula>
    </cfRule>
  </conditionalFormatting>
  <conditionalFormatting sqref="E25">
    <cfRule type="cellIs" priority="40" operator="greaterThanOrEqual" dxfId="0">
      <formula>15</formula>
    </cfRule>
    <cfRule type="cellIs" priority="41" operator="between" dxfId="1">
      <formula>5</formula>
      <formula>14</formula>
    </cfRule>
    <cfRule type="cellIs" priority="42" operator="lessThan" dxfId="2">
      <formula>5</formula>
    </cfRule>
  </conditionalFormatting>
  <conditionalFormatting sqref="E26">
    <cfRule type="cellIs" priority="43" operator="greaterThanOrEqual" dxfId="0">
      <formula>15</formula>
    </cfRule>
    <cfRule type="cellIs" priority="44" operator="between" dxfId="1">
      <formula>5</formula>
      <formula>14</formula>
    </cfRule>
    <cfRule type="cellIs" priority="45" operator="lessThan" dxfId="2">
      <formula>5</formula>
    </cfRule>
  </conditionalFormatting>
  <conditionalFormatting sqref="E27">
    <cfRule type="cellIs" priority="46" operator="greaterThanOrEqual" dxfId="0">
      <formula>15</formula>
    </cfRule>
    <cfRule type="cellIs" priority="47" operator="between" dxfId="1">
      <formula>5</formula>
      <formula>14</formula>
    </cfRule>
    <cfRule type="cellIs" priority="48" operator="lessThan" dxfId="2">
      <formula>5</formula>
    </cfRule>
  </conditionalFormatting>
  <conditionalFormatting sqref="E28">
    <cfRule type="cellIs" priority="49" operator="greaterThanOrEqual" dxfId="0">
      <formula>15</formula>
    </cfRule>
    <cfRule type="cellIs" priority="50" operator="between" dxfId="1">
      <formula>5</formula>
      <formula>14</formula>
    </cfRule>
    <cfRule type="cellIs" priority="51" operator="lessThan" dxfId="2">
      <formula>5</formula>
    </cfRule>
  </conditionalFormatting>
  <conditionalFormatting sqref="E29">
    <cfRule type="cellIs" priority="52" operator="greaterThanOrEqual" dxfId="0">
      <formula>15</formula>
    </cfRule>
    <cfRule type="cellIs" priority="53" operator="between" dxfId="1">
      <formula>5</formula>
      <formula>14</formula>
    </cfRule>
    <cfRule type="cellIs" priority="54" operator="lessThan" dxfId="2">
      <formula>5</formula>
    </cfRule>
  </conditionalFormatting>
  <conditionalFormatting sqref="E30">
    <cfRule type="cellIs" priority="55" operator="greaterThanOrEqual" dxfId="0">
      <formula>15</formula>
    </cfRule>
    <cfRule type="cellIs" priority="56" operator="between" dxfId="1">
      <formula>5</formula>
      <formula>14</formula>
    </cfRule>
    <cfRule type="cellIs" priority="57" operator="lessThan" dxfId="2">
      <formula>5</formula>
    </cfRule>
  </conditionalFormatting>
  <conditionalFormatting sqref="E31">
    <cfRule type="cellIs" priority="58" operator="greaterThanOrEqual" dxfId="0">
      <formula>15</formula>
    </cfRule>
    <cfRule type="cellIs" priority="59" operator="between" dxfId="1">
      <formula>5</formula>
      <formula>14</formula>
    </cfRule>
    <cfRule type="cellIs" priority="60" operator="less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2025-10-28T18:19:09Z</dcterms:created>
  <dcterms:modified xsi:type="dcterms:W3CDTF">2025-10-28T18:19:09Z</dcterms:modified>
</cp:coreProperties>
</file>