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2 Large-Cap 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0.00"/>
    <numFmt numFmtId="165" formatCode="+0;-0;0"/>
    <numFmt numFmtId="166" formatCode="0.0%"/>
    <numFmt numFmtId="167" formatCode="$#,##0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sz val="11"/>
    </font>
    <font>
      <b val="1"/>
    </font>
    <font>
      <b val="1"/>
      <color rgb="00C00000"/>
    </font>
    <font>
      <b val="1"/>
      <color rgb="00FFFFFF"/>
      <sz val="12"/>
    </font>
    <font>
      <b val="1"/>
      <color rgb="00FFFFFF"/>
      <sz val="11"/>
    </font>
    <font>
      <b val="1"/>
      <sz val="12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D6DCE4"/>
        <bgColor rgb="00D6DCE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0" fillId="4" borderId="0" pivotButton="0" quotePrefix="0" xfId="0"/>
    <xf numFmtId="165" fontId="0" fillId="0" borderId="0" pivotButton="0" quotePrefix="0" xfId="0"/>
    <xf numFmtId="0" fontId="6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7" fillId="8" borderId="0" pivotButton="0" quotePrefix="0" xfId="0"/>
    <xf numFmtId="2" fontId="8" fillId="0" borderId="0" pivotButton="0" quotePrefix="0" xfId="0"/>
    <xf numFmtId="0" fontId="6" fillId="8" borderId="0" pivotButton="0" quotePrefix="0" xfId="0"/>
    <xf numFmtId="2" fontId="9" fillId="9" borderId="0" pivotButton="0" quotePrefix="0" xfId="0"/>
    <xf numFmtId="0" fontId="8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0" customWidth="1" min="4" max="4"/>
    <col width="15" customWidth="1" min="5" max="5"/>
    <col width="78" customWidth="1" min="6" max="6"/>
  </cols>
  <sheetData>
    <row r="1">
      <c r="A1" s="1" t="inlineStr">
        <is>
          <t>TIER 2: LARGE-CAP GROWTH ($50-200B) - Enhanced v2.0</t>
        </is>
      </c>
    </row>
    <row r="2">
      <c r="A2" s="2" t="inlineStr">
        <is>
          <t>Minimum Score: 65 | Position Size: 5-8% | Risk: Low-Moderate | Stop Loss: -25% Stop</t>
        </is>
      </c>
    </row>
    <row r="4">
      <c r="A4" s="3" t="inlineStr">
        <is>
          <t>STOCK INFORMATION</t>
        </is>
      </c>
    </row>
    <row r="5">
      <c r="A5" s="4" t="inlineStr">
        <is>
          <t>Ticker</t>
        </is>
      </c>
    </row>
    <row r="6">
      <c r="A6" s="4" t="inlineStr">
        <is>
          <t>Company Name</t>
        </is>
      </c>
    </row>
    <row r="7">
      <c r="A7" s="4" t="inlineStr">
        <is>
          <t>Sector</t>
        </is>
      </c>
    </row>
    <row r="8">
      <c r="A8" s="4" t="inlineStr">
        <is>
          <t>Market Cap ($B)</t>
        </is>
      </c>
    </row>
    <row r="9">
      <c r="A9" s="4" t="inlineStr">
        <is>
          <t>Beta</t>
        </is>
      </c>
      <c r="B9" t="n">
        <v>1</v>
      </c>
    </row>
    <row r="10">
      <c r="A10" s="4" t="inlineStr">
        <is>
          <t>Max Drawdown (1Y %)</t>
        </is>
      </c>
    </row>
    <row r="11">
      <c r="A11" s="4" t="inlineStr">
        <is>
          <t>Current Price</t>
        </is>
      </c>
    </row>
    <row r="12">
      <c r="A12" s="4" t="inlineStr">
        <is>
          <t>Entry Price</t>
        </is>
      </c>
    </row>
    <row r="13">
      <c r="A13" s="5" t="inlineStr">
        <is>
          <t>⚠️ STOP LOSS PRICE (-25%)</t>
        </is>
      </c>
      <c r="B13" s="6">
        <f>B12*0.75</f>
        <v/>
      </c>
    </row>
    <row r="15">
      <c r="A15" s="3" t="inlineStr">
        <is>
          <t>SECTOR ADJUSTMENT</t>
        </is>
      </c>
    </row>
    <row r="16">
      <c r="A16" s="4" t="inlineStr">
        <is>
          <t>Sector Modifier</t>
        </is>
      </c>
      <c r="B16" s="7" t="n">
        <v>0</v>
      </c>
      <c r="F16" t="inlineStr">
        <is>
          <t>Tech/Software: +2 | Healthcare: +1 | Industrials: 0 | Financials: -1 | Utilities: -2</t>
        </is>
      </c>
    </row>
    <row r="17">
      <c r="A17" s="4" t="inlineStr">
        <is>
          <t>Economic Cycle Adj</t>
        </is>
      </c>
      <c r="B17" s="7" t="n">
        <v>0</v>
      </c>
      <c r="F17" t="inlineStr">
        <is>
          <t>Expansion: +1 | Peak: 0 | Contraction: -1 | Trough: 0</t>
        </is>
      </c>
    </row>
    <row r="19">
      <c r="A19" s="8" t="inlineStr">
        <is>
          <t>Valuation Score (18% weight)</t>
        </is>
      </c>
    </row>
    <row r="20">
      <c r="A20" s="9" t="inlineStr">
        <is>
          <t>Component</t>
        </is>
      </c>
      <c r="B20" s="9" t="inlineStr">
        <is>
          <t>Input Value</t>
        </is>
      </c>
      <c r="C20" s="9" t="inlineStr">
        <is>
          <t>Score (0-100)</t>
        </is>
      </c>
      <c r="D20" s="9" t="inlineStr">
        <is>
          <t>Weight</t>
        </is>
      </c>
      <c r="E20" s="9" t="inlineStr">
        <is>
          <t>Weighted Score</t>
        </is>
      </c>
      <c r="F20" s="9" t="inlineStr">
        <is>
          <t>Notes</t>
        </is>
      </c>
    </row>
    <row r="21">
      <c r="A21" t="inlineStr">
        <is>
          <t>Forward P/E or P/S</t>
        </is>
      </c>
      <c r="B21" t="inlineStr"/>
      <c r="C21" t="inlineStr"/>
      <c r="D21" t="inlineStr">
        <is>
          <t>55%</t>
        </is>
      </c>
      <c r="E21">
        <f>C21*0.55</f>
        <v/>
      </c>
      <c r="F21" t="inlineStr">
        <is>
          <t>P/E: &lt;25=100, 25-35=85, 35-50=70 | P/S: &lt;8=100, 8-12=85 + growth &gt;35%=+20 | MAX BONUS: +25</t>
        </is>
      </c>
    </row>
    <row r="22">
      <c r="A22" t="inlineStr">
        <is>
          <t>PEG Ratio</t>
        </is>
      </c>
      <c r="B22" t="inlineStr"/>
      <c r="C22" t="inlineStr"/>
      <c r="D22" t="inlineStr">
        <is>
          <t>25%</t>
        </is>
      </c>
      <c r="E22">
        <f>C22*0.25</f>
        <v/>
      </c>
      <c r="F22" t="inlineStr">
        <is>
          <t>&lt;1.0=100, 1.0-1.5=85, 1.5-2.0=70, 2.0-2.5=50, &gt;2.5=30</t>
        </is>
      </c>
    </row>
    <row r="23">
      <c r="A23" t="inlineStr">
        <is>
          <t>Relative Valuation</t>
        </is>
      </c>
      <c r="B23" t="inlineStr"/>
      <c r="C23" t="inlineStr"/>
      <c r="D23" t="inlineStr">
        <is>
          <t>20%</t>
        </is>
      </c>
      <c r="E23">
        <f>C23*0.2</f>
        <v/>
      </c>
      <c r="F23" t="inlineStr">
        <is>
          <t>Below sector=100, 0-15% above=80, 15-30%=60, 30-50%=40, &gt;50%=20</t>
        </is>
      </c>
    </row>
    <row r="24">
      <c r="A24" s="4" t="inlineStr">
        <is>
          <t>VALUATION SCORE TOTAL</t>
        </is>
      </c>
      <c r="C24">
        <f>AVERAGE(C21:C23)</f>
        <v/>
      </c>
      <c r="E24" s="10">
        <f>SUM(E21:E23)</f>
        <v/>
      </c>
    </row>
    <row r="26">
      <c r="A26" s="8" t="inlineStr">
        <is>
          <t>Quality Score (28% weight)</t>
        </is>
      </c>
    </row>
    <row r="27">
      <c r="A27" s="9" t="inlineStr">
        <is>
          <t>Component</t>
        </is>
      </c>
      <c r="B27" s="9" t="inlineStr">
        <is>
          <t>Input Value</t>
        </is>
      </c>
      <c r="C27" s="9" t="inlineStr">
        <is>
          <t>Score (0-100)</t>
        </is>
      </c>
      <c r="D27" s="9" t="inlineStr">
        <is>
          <t>Weight</t>
        </is>
      </c>
      <c r="E27" s="9" t="inlineStr">
        <is>
          <t>Weighted Score</t>
        </is>
      </c>
      <c r="F27" s="9" t="inlineStr">
        <is>
          <t>Notes</t>
        </is>
      </c>
    </row>
    <row r="28">
      <c r="A28" t="inlineStr">
        <is>
          <t>Revenue Scale</t>
        </is>
      </c>
      <c r="B28" t="inlineStr"/>
      <c r="C28" t="inlineStr"/>
      <c r="D28" t="inlineStr">
        <is>
          <t>15%</t>
        </is>
      </c>
      <c r="E28">
        <f>C28*0.15</f>
        <v/>
      </c>
      <c r="F28" t="inlineStr">
        <is>
          <t>&gt;$10B=100, $7-10B=90, $5-7B=80, $3-5B=70, $2-3B=60, &lt;$2B=45</t>
        </is>
      </c>
    </row>
    <row r="29">
      <c r="A29" t="inlineStr">
        <is>
          <t>Profitability Status</t>
        </is>
      </c>
      <c r="B29" t="inlineStr"/>
      <c r="C29" t="inlineStr"/>
      <c r="D29" t="inlineStr">
        <is>
          <t>18%</t>
        </is>
      </c>
      <c r="E29">
        <f>C29*0.18</f>
        <v/>
      </c>
      <c r="F29" t="inlineStr">
        <is>
          <t>GAAP &gt;20%=100, 15-20%=90, 10-15%=75, 5-10%=60, Non-GAAP=50 - Burn accel=-20 | MAX BONUS: +0</t>
        </is>
      </c>
    </row>
    <row r="30">
      <c r="A30" t="inlineStr">
        <is>
          <t>Gross Margin</t>
        </is>
      </c>
      <c r="B30" t="inlineStr"/>
      <c r="C30" t="inlineStr"/>
      <c r="D30" t="inlineStr">
        <is>
          <t>20%</t>
        </is>
      </c>
      <c r="E30">
        <f>C30*0.2</f>
        <v/>
      </c>
      <c r="F30" t="inlineStr">
        <is>
          <t>&gt;75%(SaaS)=100, 65-75%(Cloud)=90, 55-65%=80, 45-55%(Semi)=70</t>
        </is>
      </c>
    </row>
    <row r="31">
      <c r="A31" t="inlineStr">
        <is>
          <t>Op Margin Trajectory</t>
        </is>
      </c>
      <c r="B31" t="inlineStr"/>
      <c r="C31" t="inlineStr"/>
      <c r="D31" t="inlineStr">
        <is>
          <t>15%</t>
        </is>
      </c>
      <c r="E31">
        <f>C31*0.15</f>
        <v/>
      </c>
      <c r="F31" t="inlineStr">
        <is>
          <t>&gt;300bps/yr=100, 200-300=90, 100-200=80, 50-100=65, ±50=50</t>
        </is>
      </c>
    </row>
    <row r="32">
      <c r="A32" t="inlineStr">
        <is>
          <t>Customer Retention</t>
        </is>
      </c>
      <c r="B32" t="inlineStr"/>
      <c r="C32" t="inlineStr"/>
      <c r="D32" t="inlineStr">
        <is>
          <t>20%</t>
        </is>
      </c>
      <c r="E32">
        <f>C32*0.2</f>
        <v/>
      </c>
      <c r="F32" t="inlineStr">
        <is>
          <t>NRR &gt;130%=100, 120-130%=90, 110-120%=80 | Concentration &gt;30%=-35, &gt;20%=-25 | MAX BONUS: +15</t>
        </is>
      </c>
    </row>
    <row r="33">
      <c r="A33" t="inlineStr">
        <is>
          <t>Market Position</t>
        </is>
      </c>
      <c r="B33" t="inlineStr"/>
      <c r="C33" t="inlineStr"/>
      <c r="D33" t="inlineStr">
        <is>
          <t>12%</t>
        </is>
      </c>
      <c r="E33">
        <f>C33*0.12</f>
        <v/>
      </c>
      <c r="F33" t="inlineStr">
        <is>
          <t>Base 50 + #1-2 in category=+30, Top 3-5=+20, Share gains=+20 | MAX BONUS: +30</t>
        </is>
      </c>
    </row>
    <row r="34">
      <c r="A34" s="4" t="inlineStr">
        <is>
          <t>QUALITY SCORE TOTAL</t>
        </is>
      </c>
      <c r="C34">
        <f>AVERAGE(C28:C33)</f>
        <v/>
      </c>
      <c r="E34" s="10">
        <f>SUM(E28:E33)</f>
        <v/>
      </c>
    </row>
    <row r="36">
      <c r="A36" s="8" t="inlineStr">
        <is>
          <t>Growth Score (32% weight)</t>
        </is>
      </c>
    </row>
    <row r="37">
      <c r="A37" s="9" t="inlineStr">
        <is>
          <t>Component</t>
        </is>
      </c>
      <c r="B37" s="9" t="inlineStr">
        <is>
          <t>Input Value</t>
        </is>
      </c>
      <c r="C37" s="9" t="inlineStr">
        <is>
          <t>Score (0-100)</t>
        </is>
      </c>
      <c r="D37" s="9" t="inlineStr">
        <is>
          <t>Weight</t>
        </is>
      </c>
      <c r="E37" s="9" t="inlineStr">
        <is>
          <t>Weighted Score</t>
        </is>
      </c>
      <c r="F37" s="9" t="inlineStr">
        <is>
          <t>Notes</t>
        </is>
      </c>
    </row>
    <row r="38">
      <c r="A38" t="inlineStr">
        <is>
          <t>Revenue Growth Rate</t>
        </is>
      </c>
      <c r="B38" t="inlineStr"/>
      <c r="C38" t="inlineStr"/>
      <c r="D38" t="inlineStr">
        <is>
          <t>25%</t>
        </is>
      </c>
      <c r="E38">
        <f>C38*0.25</f>
        <v/>
      </c>
      <c r="F38" t="inlineStr">
        <is>
          <t>&gt;35%=100, 28-35%=90, 22-28%=80, 18-22%=70, 15-18%=55, 12-15%=40</t>
        </is>
      </c>
    </row>
    <row r="39">
      <c r="A39" t="inlineStr">
        <is>
          <t>Growth Consistency</t>
        </is>
      </c>
      <c r="B39" t="inlineStr"/>
      <c r="C39" t="inlineStr"/>
      <c r="D39" t="inlineStr">
        <is>
          <t>15%</t>
        </is>
      </c>
      <c r="E39">
        <f>C39*0.15</f>
        <v/>
      </c>
      <c r="F39" t="inlineStr">
        <is>
          <t>3 yrs 25%+=100, 2 yrs=85, Accelerating=80, Volatile 20%+=60 | MAX BONUS: +20</t>
        </is>
      </c>
    </row>
    <row r="40">
      <c r="A40" t="inlineStr">
        <is>
          <t>Forward Growth Estimates</t>
        </is>
      </c>
      <c r="B40" t="inlineStr"/>
      <c r="C40" t="inlineStr"/>
      <c r="D40" t="inlineStr">
        <is>
          <t>20%</t>
        </is>
      </c>
      <c r="E40">
        <f>C40*0.2</f>
        <v/>
      </c>
      <c r="F40" t="inlineStr">
        <is>
          <t>&gt;30%=100, 25-30%=85, 20-25%=70, 15-20%=55 + accel=+15 | MAX BONUS: +15</t>
        </is>
      </c>
    </row>
    <row r="41">
      <c r="A41" t="inlineStr">
        <is>
          <t>EPS vs Revenue Growth</t>
        </is>
      </c>
      <c r="B41" t="inlineStr"/>
      <c r="C41" t="inlineStr"/>
      <c r="D41" t="inlineStr">
        <is>
          <t>10%</t>
        </is>
      </c>
      <c r="E41">
        <f>C41*0.1</f>
        <v/>
      </c>
      <c r="F41" t="inlineStr">
        <is>
          <t>Base 50, EPS&gt;Rev+7%=+40, ±5%=+15, &lt;Rev-5%=-20 | MAX BONUS: +40</t>
        </is>
      </c>
    </row>
    <row r="42">
      <c r="A42" t="inlineStr">
        <is>
          <t>TAM &amp; Penetration</t>
        </is>
      </c>
      <c r="B42" t="inlineStr"/>
      <c r="C42" t="inlineStr"/>
      <c r="D42" t="inlineStr">
        <is>
          <t>15%</t>
        </is>
      </c>
      <c r="E42">
        <f>C42*0.15</f>
        <v/>
      </c>
      <c r="F42" t="inlineStr">
        <is>
          <t>&gt;$100B TAM &lt;10% pen=100, $75-100B &lt;12%=90 (Use standardized TAM calc)</t>
        </is>
      </c>
    </row>
    <row r="43">
      <c r="A43" t="inlineStr">
        <is>
          <t>Growth Drivers</t>
        </is>
      </c>
      <c r="B43" t="inlineStr"/>
      <c r="C43" t="inlineStr"/>
      <c r="D43" t="inlineStr">
        <is>
          <t>10%</t>
        </is>
      </c>
      <c r="E43">
        <f>C43*0.1</f>
        <v/>
      </c>
      <c r="F43" t="inlineStr">
        <is>
          <t>Base 50 + Multiple segments=+20, Geo expand=+12, New products=+12 | MAX BONUS: +25</t>
        </is>
      </c>
    </row>
    <row r="44">
      <c r="A44" t="inlineStr">
        <is>
          <t>Cyclicality Factor</t>
        </is>
      </c>
      <c r="B44" t="inlineStr"/>
      <c r="C44" t="inlineStr"/>
      <c r="D44" t="inlineStr">
        <is>
          <t>5%</t>
        </is>
      </c>
      <c r="E44">
        <f>C44*0.05</f>
        <v/>
      </c>
      <c r="F44" t="inlineStr">
        <is>
          <t>Non-cyclical=100, Early/mid cycle=85, Late cycle secular=70</t>
        </is>
      </c>
    </row>
    <row r="45">
      <c r="A45" s="4" t="inlineStr">
        <is>
          <t>GROWTH SCORE TOTAL</t>
        </is>
      </c>
      <c r="C45">
        <f>AVERAGE(C38:C44)</f>
        <v/>
      </c>
      <c r="E45" s="10">
        <f>SUM(E38:E44)</f>
        <v/>
      </c>
    </row>
    <row r="47">
      <c r="A47" s="8" t="inlineStr">
        <is>
          <t>Momentum Score (12% weight)</t>
        </is>
      </c>
    </row>
    <row r="48">
      <c r="A48" s="9" t="inlineStr">
        <is>
          <t>Component</t>
        </is>
      </c>
      <c r="B48" s="9" t="inlineStr">
        <is>
          <t>Input Value</t>
        </is>
      </c>
      <c r="C48" s="9" t="inlineStr">
        <is>
          <t>Score (0-100)</t>
        </is>
      </c>
      <c r="D48" s="9" t="inlineStr">
        <is>
          <t>Weight</t>
        </is>
      </c>
      <c r="E48" s="9" t="inlineStr">
        <is>
          <t>Weighted Score</t>
        </is>
      </c>
      <c r="F48" s="9" t="inlineStr">
        <is>
          <t>Notes</t>
        </is>
      </c>
    </row>
    <row r="49">
      <c r="A49" t="inlineStr">
        <is>
          <t>6-Month Price Performance</t>
        </is>
      </c>
      <c r="B49" t="inlineStr"/>
      <c r="C49" t="inlineStr"/>
      <c r="D49" t="inlineStr">
        <is>
          <t>40%</t>
        </is>
      </c>
      <c r="E49">
        <f>C49*0.4</f>
        <v/>
      </c>
      <c r="F49" t="inlineStr">
        <is>
          <t>&gt;50%=100, 35-50%=85, 20-35%=70, 10-20%=50 + inst flow=+12 | MAX BONUS: +15</t>
        </is>
      </c>
    </row>
    <row r="50">
      <c r="A50" t="inlineStr">
        <is>
          <t>Relative Strength vs QQQ</t>
        </is>
      </c>
      <c r="B50" t="inlineStr"/>
      <c r="C50" t="inlineStr"/>
      <c r="D50" t="inlineStr">
        <is>
          <t>35%</t>
        </is>
      </c>
      <c r="E50">
        <f>C50*0.35</f>
        <v/>
      </c>
      <c r="F50" t="inlineStr">
        <is>
          <t>Outperform &gt;15%=100, 8-15%=80, 0-8%=60 + analyst upgrades=+12 | MAX BONUS: +15</t>
        </is>
      </c>
    </row>
    <row r="51">
      <c r="A51" t="inlineStr">
        <is>
          <t>Technical Setup</t>
        </is>
      </c>
      <c r="B51" t="inlineStr"/>
      <c r="C51" t="inlineStr"/>
      <c r="D51" t="inlineStr">
        <is>
          <t>25%</t>
        </is>
      </c>
      <c r="E51">
        <f>C51*0.25</f>
        <v/>
      </c>
      <c r="F51" t="inlineStr">
        <is>
          <t>Above 50&amp;200 MA=100, Above 200=70, Above 50=55, Between=50, Below=30</t>
        </is>
      </c>
    </row>
    <row r="52">
      <c r="A52" s="4" t="inlineStr">
        <is>
          <t>MOMENTUM SCORE TOTAL</t>
        </is>
      </c>
      <c r="C52">
        <f>AVERAGE(C49:C51)</f>
        <v/>
      </c>
      <c r="E52" s="10">
        <f>SUM(E49:E51)</f>
        <v/>
      </c>
    </row>
    <row r="54">
      <c r="A54" s="8" t="inlineStr">
        <is>
          <t>Scale &amp; Moat Score (10% weight)</t>
        </is>
      </c>
    </row>
    <row r="55">
      <c r="A55" s="9" t="inlineStr">
        <is>
          <t>Component</t>
        </is>
      </c>
      <c r="B55" s="9" t="inlineStr">
        <is>
          <t>Input Value</t>
        </is>
      </c>
      <c r="C55" s="9" t="inlineStr">
        <is>
          <t>Score (0-100)</t>
        </is>
      </c>
      <c r="D55" s="9" t="inlineStr">
        <is>
          <t>Weight</t>
        </is>
      </c>
      <c r="E55" s="9" t="inlineStr">
        <is>
          <t>Weighted Score</t>
        </is>
      </c>
      <c r="F55" s="9" t="inlineStr">
        <is>
          <t>Notes</t>
        </is>
      </c>
    </row>
    <row r="56">
      <c r="A56" t="inlineStr">
        <is>
          <t>Competitive Position Evolution</t>
        </is>
      </c>
      <c r="B56" t="inlineStr"/>
      <c r="C56" t="inlineStr"/>
      <c r="D56" t="inlineStr">
        <is>
          <t>35%</t>
        </is>
      </c>
      <c r="E56">
        <f>C56*0.35</f>
        <v/>
      </c>
      <c r="F56" t="inlineStr">
        <is>
          <t>Pulling away=100, Maintaining=80, Steady=60, Losing=30</t>
        </is>
      </c>
    </row>
    <row r="57">
      <c r="A57" t="inlineStr">
        <is>
          <t>Moat Development</t>
        </is>
      </c>
      <c r="B57" t="inlineStr"/>
      <c r="C57" t="inlineStr"/>
      <c r="D57" t="inlineStr">
        <is>
          <t>30%</t>
        </is>
      </c>
      <c r="E57">
        <f>C57*0.3</f>
        <v/>
      </c>
      <c r="F57" t="inlineStr">
        <is>
          <t>Base 50 + Network=+25, Switching=+20, Scale=+15, Brand=+15 | MAX BONUS: +30</t>
        </is>
      </c>
    </row>
    <row r="58">
      <c r="A58" t="inlineStr">
        <is>
          <t>Operating Leverage Inflection</t>
        </is>
      </c>
      <c r="B58" t="inlineStr"/>
      <c r="C58" t="inlineStr"/>
      <c r="D58" t="inlineStr">
        <is>
          <t>20%</t>
        </is>
      </c>
      <c r="E58">
        <f>C58*0.2</f>
        <v/>
      </c>
      <c r="F58" t="inlineStr">
        <is>
          <t>Margin &gt; Revenue growth=100, In line=75, Slower=50</t>
        </is>
      </c>
    </row>
    <row r="59">
      <c r="A59" t="inlineStr">
        <is>
          <t>Strategic Partnerships</t>
        </is>
      </c>
      <c r="B59" t="inlineStr"/>
      <c r="C59" t="inlineStr"/>
      <c r="D59" t="inlineStr">
        <is>
          <t>15%</t>
        </is>
      </c>
      <c r="E59">
        <f>C59*0.15</f>
        <v/>
      </c>
      <c r="F59" t="inlineStr">
        <is>
          <t>Base 50 + Major tech=+20, Gov=+20, Ecosystem=+15 | MAX BONUS: +25</t>
        </is>
      </c>
    </row>
    <row r="60">
      <c r="A60" s="4" t="inlineStr">
        <is>
          <t>SCALE &amp; MOAT SCORE TOTAL</t>
        </is>
      </c>
      <c r="C60">
        <f>AVERAGE(C56:C59)</f>
        <v/>
      </c>
      <c r="E60" s="10">
        <f>SUM(E56:E59)</f>
        <v/>
      </c>
    </row>
    <row r="62">
      <c r="A62" s="11" t="inlineStr">
        <is>
          <t>COMPOSITE SCORE (Raw)</t>
        </is>
      </c>
      <c r="C62" s="12">
        <f>E24+E34+E45+E52+E60</f>
        <v/>
      </c>
    </row>
    <row r="63">
      <c r="A63" s="13" t="inlineStr">
        <is>
          <t>ADJUSTED COMPOSITE</t>
        </is>
      </c>
      <c r="C63" s="14">
        <f>C62+B17+B18</f>
        <v/>
      </c>
    </row>
    <row r="64">
      <c r="A64" s="4" t="inlineStr">
        <is>
          <t>RATING</t>
        </is>
      </c>
      <c r="C64" s="15">
        <f>IF(C63&gt;=80,"Strong Buy",IF(C63&gt;=70,"Buy",IF(C63&gt;=60,"Hold","Sell")))</f>
        <v/>
      </c>
    </row>
    <row r="65">
      <c r="A65" s="4" t="inlineStr">
        <is>
          <t>Score Buffer vs Min (65)</t>
        </is>
      </c>
      <c r="C65" s="16">
        <f>C63-65</f>
        <v/>
      </c>
    </row>
    <row r="67">
      <c r="A67" s="13" t="inlineStr">
        <is>
          <t>POSITION SIZING (Risk-Adjusted)</t>
        </is>
      </c>
    </row>
    <row r="68">
      <c r="A68" s="4" t="inlineStr">
        <is>
          <t>Beta Adjustment Factor</t>
        </is>
      </c>
      <c r="C68" s="16">
        <f>1+(B9-1)*1.0</f>
        <v/>
      </c>
    </row>
    <row r="69">
      <c r="A69" s="4" t="inlineStr">
        <is>
          <t>Drawdown Penalty Factor</t>
        </is>
      </c>
      <c r="C69" s="16">
        <f>IF(B10="",1,1+(B10/100)*0.5)</f>
        <v/>
      </c>
      <c r="F69" t="inlineStr">
        <is>
          <t>If 1Y Max DD = -30%, penalty = 1.15x</t>
        </is>
      </c>
    </row>
    <row r="70">
      <c r="A70" s="4" t="inlineStr">
        <is>
          <t>Combined Risk Factor</t>
        </is>
      </c>
      <c r="C70" s="16">
        <f>C68*C69</f>
        <v/>
      </c>
    </row>
    <row r="71">
      <c r="A71" s="4" t="inlineStr">
        <is>
          <t>Target Position %</t>
        </is>
      </c>
      <c r="C71" s="17">
        <f>(7%*C63/100)/C70</f>
        <v/>
      </c>
    </row>
    <row r="72">
      <c r="A72" s="4" t="inlineStr">
        <is>
          <t>Portfolio Value ($)</t>
        </is>
      </c>
      <c r="B72" s="18" t="n">
        <v>100000</v>
      </c>
    </row>
    <row r="73">
      <c r="A73" s="4" t="inlineStr">
        <is>
          <t>Target Dollar Amount</t>
        </is>
      </c>
      <c r="C73" s="18">
        <f>C71*B72</f>
        <v/>
      </c>
    </row>
    <row r="74">
      <c r="A74" s="4" t="inlineStr">
        <is>
          <t>Current Position Value</t>
        </is>
      </c>
      <c r="B74" s="18" t="inlineStr"/>
    </row>
    <row r="75">
      <c r="A75" s="4" t="inlineStr">
        <is>
          <t>Current Position %</t>
        </is>
      </c>
      <c r="C75" s="17">
        <f>IF(B72&gt;0,B74/B72,0)</f>
        <v/>
      </c>
    </row>
    <row r="76">
      <c r="A76" s="4" t="inlineStr">
        <is>
          <t>Drift %</t>
        </is>
      </c>
      <c r="C76" s="17">
        <f>IF(C71&gt;0,(C75-C71)/C71,0)</f>
        <v/>
      </c>
    </row>
    <row r="77">
      <c r="A77" s="4" t="inlineStr">
        <is>
          <t>Action</t>
        </is>
      </c>
      <c r="C77" s="4">
        <f>IF(C76&gt;0.10,"TRIM",IF(AND(C76&lt;-0.10,C63&gt;=65+8),"ADD IF STRONG","HOLD"))</f>
        <v/>
      </c>
    </row>
  </sheetData>
  <mergeCells count="12">
    <mergeCell ref="A4:B4"/>
    <mergeCell ref="A2:F2"/>
    <mergeCell ref="A54:F54"/>
    <mergeCell ref="A62:B62"/>
    <mergeCell ref="A47:F47"/>
    <mergeCell ref="A19:F19"/>
    <mergeCell ref="A36:F36"/>
    <mergeCell ref="A1:F1"/>
    <mergeCell ref="A63:B63"/>
    <mergeCell ref="A26:F26"/>
    <mergeCell ref="A67:B67"/>
    <mergeCell ref="A15:F15"/>
  </mergeCells>
  <conditionalFormatting sqref="C65">
    <cfRule type="cellIs" priority="1" operator="greaterThanOrEqual" dxfId="0">
      <formula>15</formula>
    </cfRule>
    <cfRule type="cellIs" priority="2" operator="between" dxfId="1">
      <formula>5</formula>
      <formula>14</formula>
    </cfRule>
    <cfRule type="cellIs" priority="3" operator="lessThan" dxfId="2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2025-10-31T17:33:41Z</dcterms:created>
  <dcterms:modified xsi:type="dcterms:W3CDTF">2025-10-31T17:33:41Z</dcterms:modified>
</cp:coreProperties>
</file>