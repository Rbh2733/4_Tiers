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r 3 Mid-Cap Emer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0.00"/>
    <numFmt numFmtId="165" formatCode="+0;-0;0"/>
    <numFmt numFmtId="166" formatCode="0.0%"/>
    <numFmt numFmtId="167" formatCode="$#,##0"/>
  </numFmts>
  <fonts count="10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0"/>
    </font>
    <font>
      <b val="1"/>
      <sz val="11"/>
    </font>
    <font>
      <b val="1"/>
    </font>
    <font>
      <b val="1"/>
      <color rgb="00C00000"/>
    </font>
    <font>
      <b val="1"/>
      <color rgb="00FFFFFF"/>
      <sz val="12"/>
    </font>
    <font>
      <b val="1"/>
      <color rgb="00FFFFFF"/>
      <sz val="11"/>
    </font>
    <font>
      <b val="1"/>
      <sz val="12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00D6DCE4"/>
        <bgColor rgb="00D6DCE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164" fontId="0" fillId="4" borderId="0" pivotButton="0" quotePrefix="0" xfId="0"/>
    <xf numFmtId="165" fontId="0" fillId="0" borderId="0" pivotButton="0" quotePrefix="0" xfId="0"/>
    <xf numFmtId="0" fontId="6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7" fillId="8" borderId="0" pivotButton="0" quotePrefix="0" xfId="0"/>
    <xf numFmtId="2" fontId="8" fillId="0" borderId="0" pivotButton="0" quotePrefix="0" xfId="0"/>
    <xf numFmtId="0" fontId="6" fillId="8" borderId="0" pivotButton="0" quotePrefix="0" xfId="0"/>
    <xf numFmtId="2" fontId="9" fillId="9" borderId="0" pivotButton="0" quotePrefix="0" xfId="0"/>
    <xf numFmtId="0" fontId="8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  <col width="10" customWidth="1" min="4" max="4"/>
    <col width="15" customWidth="1" min="5" max="5"/>
    <col width="80" customWidth="1" min="6" max="6"/>
  </cols>
  <sheetData>
    <row r="1">
      <c r="A1" s="1" t="inlineStr">
        <is>
          <t>TIER 3: MID-CAP EMERGING ($10-50B) - Enhanced v2.0</t>
        </is>
      </c>
    </row>
    <row r="2">
      <c r="A2" s="2" t="inlineStr">
        <is>
          <t>Minimum Score: 67 | Position Size: 3-5% | Risk: Moderate-High | Stop Loss: -30% Stop</t>
        </is>
      </c>
    </row>
    <row r="4">
      <c r="A4" s="3" t="inlineStr">
        <is>
          <t>STOCK INFORMATION</t>
        </is>
      </c>
    </row>
    <row r="5">
      <c r="A5" s="4" t="inlineStr">
        <is>
          <t>Ticker</t>
        </is>
      </c>
    </row>
    <row r="6">
      <c r="A6" s="4" t="inlineStr">
        <is>
          <t>Company Name</t>
        </is>
      </c>
    </row>
    <row r="7">
      <c r="A7" s="4" t="inlineStr">
        <is>
          <t>Sector</t>
        </is>
      </c>
    </row>
    <row r="8">
      <c r="A8" s="4" t="inlineStr">
        <is>
          <t>Market Cap ($B)</t>
        </is>
      </c>
    </row>
    <row r="9">
      <c r="A9" s="4" t="inlineStr">
        <is>
          <t>Beta</t>
        </is>
      </c>
      <c r="B9" t="n">
        <v>1</v>
      </c>
    </row>
    <row r="10">
      <c r="A10" s="4" t="inlineStr">
        <is>
          <t>Max Drawdown (1Y %)</t>
        </is>
      </c>
    </row>
    <row r="11">
      <c r="A11" s="4" t="inlineStr">
        <is>
          <t>Current Price</t>
        </is>
      </c>
    </row>
    <row r="12">
      <c r="A12" s="4" t="inlineStr">
        <is>
          <t>Entry Price</t>
        </is>
      </c>
    </row>
    <row r="13">
      <c r="A13" s="5" t="inlineStr">
        <is>
          <t>⚠️ STOP LOSS PRICE (-30%)</t>
        </is>
      </c>
      <c r="B13" s="6">
        <f>B12*0.7</f>
        <v/>
      </c>
    </row>
    <row r="15">
      <c r="A15" s="3" t="inlineStr">
        <is>
          <t>SECTOR ADJUSTMENT</t>
        </is>
      </c>
    </row>
    <row r="16">
      <c r="A16" s="4" t="inlineStr">
        <is>
          <t>Sector Modifier</t>
        </is>
      </c>
      <c r="B16" s="7" t="n">
        <v>0</v>
      </c>
      <c r="F16" t="inlineStr">
        <is>
          <t>Tech/Software: +2 | Healthcare: +1 | Industrials: 0 | Financials: -1 | Utilities: -2</t>
        </is>
      </c>
    </row>
    <row r="17">
      <c r="A17" s="4" t="inlineStr">
        <is>
          <t>Economic Cycle Adj</t>
        </is>
      </c>
      <c r="B17" s="7" t="n">
        <v>0</v>
      </c>
      <c r="F17" t="inlineStr">
        <is>
          <t>Expansion: +1 | Peak: 0 | Contraction: -1 | Trough: 0</t>
        </is>
      </c>
    </row>
    <row r="19">
      <c r="A19" s="8" t="inlineStr">
        <is>
          <t>Valuation Score (15% weight)</t>
        </is>
      </c>
    </row>
    <row r="20">
      <c r="A20" s="9" t="inlineStr">
        <is>
          <t>Component</t>
        </is>
      </c>
      <c r="B20" s="9" t="inlineStr">
        <is>
          <t>Input Value</t>
        </is>
      </c>
      <c r="C20" s="9" t="inlineStr">
        <is>
          <t>Score (0-100)</t>
        </is>
      </c>
      <c r="D20" s="9" t="inlineStr">
        <is>
          <t>Weight</t>
        </is>
      </c>
      <c r="E20" s="9" t="inlineStr">
        <is>
          <t>Weighted Score</t>
        </is>
      </c>
      <c r="F20" s="9" t="inlineStr">
        <is>
          <t>Notes</t>
        </is>
      </c>
    </row>
    <row r="21">
      <c r="A21" t="inlineStr">
        <is>
          <t>Price-to-Sales</t>
        </is>
      </c>
      <c r="B21" t="inlineStr"/>
      <c r="C21" t="inlineStr"/>
      <c r="D21" t="inlineStr">
        <is>
          <t>60%</t>
        </is>
      </c>
      <c r="E21">
        <f>C21*0.6</f>
        <v/>
      </c>
      <c r="F21" t="inlineStr">
        <is>
          <t>&lt;10x=100, 10-15=85, 15-22=70, 22-30=55 + growth &gt;40%=+20 | MAX BONUS: +25</t>
        </is>
      </c>
    </row>
    <row r="22">
      <c r="A22" t="inlineStr">
        <is>
          <t>Relative Valuation</t>
        </is>
      </c>
      <c r="B22" t="inlineStr"/>
      <c r="C22" t="inlineStr"/>
      <c r="D22" t="inlineStr">
        <is>
          <t>25%</t>
        </is>
      </c>
      <c r="E22">
        <f>C22*0.25</f>
        <v/>
      </c>
      <c r="F22" t="inlineStr">
        <is>
          <t>Below sector=100, At median=75, 1-1.5x=60, 1.5-2x=40, &gt;2x=20</t>
        </is>
      </c>
    </row>
    <row r="23">
      <c r="A23" t="inlineStr">
        <is>
          <t>Insider Ownership</t>
        </is>
      </c>
      <c r="B23" t="inlineStr"/>
      <c r="C23" t="inlineStr"/>
      <c r="D23" t="inlineStr">
        <is>
          <t>15%</t>
        </is>
      </c>
      <c r="E23">
        <f>C23*0.15</f>
        <v/>
      </c>
      <c r="F23" t="inlineStr">
        <is>
          <t>&gt;20%=100, 15-20%=90, 10-15%=75 + recent buying=+15, Founder&gt;30%=+15 | MAX BONUS: +20</t>
        </is>
      </c>
    </row>
    <row r="24">
      <c r="A24" s="4" t="inlineStr">
        <is>
          <t>VALUATION SCORE TOTAL</t>
        </is>
      </c>
      <c r="C24">
        <f>AVERAGE(C21:C23)</f>
        <v/>
      </c>
      <c r="E24" s="10">
        <f>SUM(E21:E23)</f>
        <v/>
      </c>
    </row>
    <row r="26">
      <c r="A26" s="8" t="inlineStr">
        <is>
          <t>Quality Score (22% weight)</t>
        </is>
      </c>
    </row>
    <row r="27">
      <c r="A27" s="9" t="inlineStr">
        <is>
          <t>Component</t>
        </is>
      </c>
      <c r="B27" s="9" t="inlineStr">
        <is>
          <t>Input Value</t>
        </is>
      </c>
      <c r="C27" s="9" t="inlineStr">
        <is>
          <t>Score (0-100)</t>
        </is>
      </c>
      <c r="D27" s="9" t="inlineStr">
        <is>
          <t>Weight</t>
        </is>
      </c>
      <c r="E27" s="9" t="inlineStr">
        <is>
          <t>Weighted Score</t>
        </is>
      </c>
      <c r="F27" s="9" t="inlineStr">
        <is>
          <t>Notes</t>
        </is>
      </c>
    </row>
    <row r="28">
      <c r="A28" t="inlineStr">
        <is>
          <t>Revenue Scale</t>
        </is>
      </c>
      <c r="B28" t="inlineStr"/>
      <c r="C28" t="inlineStr"/>
      <c r="D28" t="inlineStr">
        <is>
          <t>18%</t>
        </is>
      </c>
      <c r="E28">
        <f>C28*0.18</f>
        <v/>
      </c>
      <c r="F28" t="inlineStr">
        <is>
          <t>&gt;$5B=100, $3-5B=85, $2-3B=75, $1-2B=60, $0.5-1B=45, &lt;$0.5B=30</t>
        </is>
      </c>
    </row>
    <row r="29">
      <c r="A29" t="inlineStr">
        <is>
          <t>Profitability Path</t>
        </is>
      </c>
      <c r="B29" t="inlineStr"/>
      <c r="C29" t="inlineStr"/>
      <c r="D29" t="inlineStr">
        <is>
          <t>20%</t>
        </is>
      </c>
      <c r="E29">
        <f>C29*0.2</f>
        <v/>
      </c>
      <c r="F29" t="inlineStr">
        <is>
          <t>Profitable &gt;15%=100, 10-15%=85, 5-10%=70 - Burn accel 20%+=-25 | MAX BONUS: +0</t>
        </is>
      </c>
    </row>
    <row r="30">
      <c r="A30" t="inlineStr">
        <is>
          <t>Gross Margin</t>
        </is>
      </c>
      <c r="B30" t="inlineStr"/>
      <c r="C30" t="inlineStr"/>
      <c r="D30" t="inlineStr">
        <is>
          <t>22%</t>
        </is>
      </c>
      <c r="E30">
        <f>C30*0.22</f>
        <v/>
      </c>
      <c r="F30" t="inlineStr">
        <is>
          <t>&gt;75%=100, 65-75%=90, 55-65%=80, 45-55%=65, 35-45%=50</t>
        </is>
      </c>
    </row>
    <row r="31">
      <c r="A31" t="inlineStr">
        <is>
          <t>Unit Economics</t>
        </is>
      </c>
      <c r="B31" t="inlineStr"/>
      <c r="C31" t="inlineStr"/>
      <c r="D31" t="inlineStr">
        <is>
          <t>20%</t>
        </is>
      </c>
      <c r="E31">
        <f>C31*0.2</f>
        <v/>
      </c>
      <c r="F31" t="inlineStr">
        <is>
          <t>LTV/CAC &gt;3x=100, 2-3x=75, 1-2x=40 | Payback &lt;12mo=85 + Improving=+10 | MAX BONUS: +10</t>
        </is>
      </c>
    </row>
    <row r="32">
      <c r="A32" t="inlineStr">
        <is>
          <t>Customer Quality</t>
        </is>
      </c>
      <c r="B32" t="inlineStr"/>
      <c r="C32" t="inlineStr"/>
      <c r="D32" t="inlineStr">
        <is>
          <t>20%</t>
        </is>
      </c>
      <c r="E32">
        <f>C32*0.2</f>
        <v/>
      </c>
      <c r="F32" t="inlineStr">
        <is>
          <t>NRR &gt;125%=100, 115-125%=85 | Concentration &gt;40%=-40, &gt;30%=-30, &lt;10%=+12 | MAX BONUS: +12</t>
        </is>
      </c>
    </row>
    <row r="33">
      <c r="A33" s="4" t="inlineStr">
        <is>
          <t>QUALITY SCORE TOTAL</t>
        </is>
      </c>
      <c r="C33">
        <f>AVERAGE(C28:C32)</f>
        <v/>
      </c>
      <c r="E33" s="10">
        <f>SUM(E28:E32)</f>
        <v/>
      </c>
    </row>
    <row r="35">
      <c r="A35" s="8" t="inlineStr">
        <is>
          <t>Growth Score (38% weight)</t>
        </is>
      </c>
    </row>
    <row r="36">
      <c r="A36" s="9" t="inlineStr">
        <is>
          <t>Component</t>
        </is>
      </c>
      <c r="B36" s="9" t="inlineStr">
        <is>
          <t>Input Value</t>
        </is>
      </c>
      <c r="C36" s="9" t="inlineStr">
        <is>
          <t>Score (0-100)</t>
        </is>
      </c>
      <c r="D36" s="9" t="inlineStr">
        <is>
          <t>Weight</t>
        </is>
      </c>
      <c r="E36" s="9" t="inlineStr">
        <is>
          <t>Weighted Score</t>
        </is>
      </c>
      <c r="F36" s="9" t="inlineStr">
        <is>
          <t>Notes</t>
        </is>
      </c>
    </row>
    <row r="37">
      <c r="A37" t="inlineStr">
        <is>
          <t>Revenue Growth</t>
        </is>
      </c>
      <c r="B37" t="inlineStr"/>
      <c r="C37" t="inlineStr"/>
      <c r="D37" t="inlineStr">
        <is>
          <t>28%</t>
        </is>
      </c>
      <c r="E37">
        <f>C37*0.28</f>
        <v/>
      </c>
      <c r="F37" t="inlineStr">
        <is>
          <t>&gt;50%=100, 40-50%=90, 32-40%=80, 25-32%=70, 20-25%=55</t>
        </is>
      </c>
    </row>
    <row r="38">
      <c r="A38" t="inlineStr">
        <is>
          <t>Growth Acceleration</t>
        </is>
      </c>
      <c r="B38" t="inlineStr"/>
      <c r="C38" t="inlineStr"/>
      <c r="D38" t="inlineStr">
        <is>
          <t>18%</t>
        </is>
      </c>
      <c r="E38">
        <f>C38*0.18</f>
        <v/>
      </c>
      <c r="F38" t="inlineStr">
        <is>
          <t>4+ qtrs accel=100, 3 qtrs=90, 2 qtrs=75, Stable high 30%+=60 +10/qtr | MAX BONUS: +30</t>
        </is>
      </c>
    </row>
    <row r="39">
      <c r="A39" t="inlineStr">
        <is>
          <t>Forward Estimates</t>
        </is>
      </c>
      <c r="B39" t="inlineStr"/>
      <c r="C39" t="inlineStr"/>
      <c r="D39" t="inlineStr">
        <is>
          <t>18%</t>
        </is>
      </c>
      <c r="E39">
        <f>C39*0.18</f>
        <v/>
      </c>
      <c r="F39" t="inlineStr">
        <is>
          <t>&gt;40%=100, 32-40%=85, 25-32%=70 + accel &gt;8%=+15 | MAX BONUS: +15</t>
        </is>
      </c>
    </row>
    <row r="40">
      <c r="A40" t="inlineStr">
        <is>
          <t>TAM &amp; Penetration</t>
        </is>
      </c>
      <c r="B40" t="inlineStr"/>
      <c r="C40" t="inlineStr"/>
      <c r="D40" t="inlineStr">
        <is>
          <t>18%</t>
        </is>
      </c>
      <c r="E40">
        <f>C40*0.18</f>
        <v/>
      </c>
      <c r="F40" t="inlineStr">
        <is>
          <t>&gt;$75B TAM &lt;8% pen=100, $50-75B &lt;12%=85 (Standardized TAM)</t>
        </is>
      </c>
    </row>
    <row r="41">
      <c r="A41" t="inlineStr">
        <is>
          <t>Growth Driver Diversity</t>
        </is>
      </c>
      <c r="B41" t="inlineStr"/>
      <c r="C41" t="inlineStr"/>
      <c r="D41" t="inlineStr">
        <is>
          <t>12%</t>
        </is>
      </c>
      <c r="E41">
        <f>C41*0.12</f>
        <v/>
      </c>
      <c r="F41" t="inlineStr">
        <is>
          <t>Base 50 + Multiple segments=+25, Geo=+15, Platform=+15 | MAX BONUS: +30</t>
        </is>
      </c>
    </row>
    <row r="42">
      <c r="A42" t="inlineStr">
        <is>
          <t>Cyclicality</t>
        </is>
      </c>
      <c r="B42" t="inlineStr"/>
      <c r="C42" t="inlineStr"/>
      <c r="D42" t="inlineStr">
        <is>
          <t>6%</t>
        </is>
      </c>
      <c r="E42">
        <f>C42*0.06</f>
        <v/>
      </c>
      <c r="F42" t="inlineStr">
        <is>
          <t>Non-cyclical=100, Early cycle+secular=85, Mid=70, Late=45</t>
        </is>
      </c>
    </row>
    <row r="43">
      <c r="A43" s="4" t="inlineStr">
        <is>
          <t>GROWTH SCORE TOTAL</t>
        </is>
      </c>
      <c r="C43">
        <f>AVERAGE(C37:C42)</f>
        <v/>
      </c>
      <c r="E43" s="10">
        <f>SUM(E37:E42)</f>
        <v/>
      </c>
    </row>
    <row r="45">
      <c r="A45" s="8" t="inlineStr">
        <is>
          <t>Momentum Score (15% weight)</t>
        </is>
      </c>
    </row>
    <row r="46">
      <c r="A46" s="9" t="inlineStr">
        <is>
          <t>Component</t>
        </is>
      </c>
      <c r="B46" s="9" t="inlineStr">
        <is>
          <t>Input Value</t>
        </is>
      </c>
      <c r="C46" s="9" t="inlineStr">
        <is>
          <t>Score (0-100)</t>
        </is>
      </c>
      <c r="D46" s="9" t="inlineStr">
        <is>
          <t>Weight</t>
        </is>
      </c>
      <c r="E46" s="9" t="inlineStr">
        <is>
          <t>Weighted Score</t>
        </is>
      </c>
      <c r="F46" s="9" t="inlineStr">
        <is>
          <t>Notes</t>
        </is>
      </c>
    </row>
    <row r="47">
      <c r="A47" t="inlineStr">
        <is>
          <t>6-Month Return</t>
        </is>
      </c>
      <c r="B47" t="inlineStr"/>
      <c r="C47" t="inlineStr"/>
      <c r="D47" t="inlineStr">
        <is>
          <t>40%</t>
        </is>
      </c>
      <c r="E47">
        <f>C47*0.4</f>
        <v/>
      </c>
      <c r="F47" t="inlineStr">
        <is>
          <t>&gt;70%=100, 50-70%=90, 30-50%=75, 15-30%=55, 0-15%=40, &lt;0%=60</t>
        </is>
      </c>
    </row>
    <row r="48">
      <c r="A48" t="inlineStr">
        <is>
          <t>Relative Strength vs IWM</t>
        </is>
      </c>
      <c r="B48" t="inlineStr"/>
      <c r="C48" t="inlineStr"/>
      <c r="D48" t="inlineStr">
        <is>
          <t>35%</t>
        </is>
      </c>
      <c r="E48">
        <f>C48*0.35</f>
        <v/>
      </c>
      <c r="F48" t="inlineStr">
        <is>
          <t>&gt;20% outperform=100, 12-20%=80, 5-12%=60 + upgrades=+12 | MAX BONUS: +15</t>
        </is>
      </c>
    </row>
    <row r="49">
      <c r="A49" t="inlineStr">
        <is>
          <t>Volume &amp; Sentiment</t>
        </is>
      </c>
      <c r="B49" t="inlineStr"/>
      <c r="C49" t="inlineStr"/>
      <c r="D49" t="inlineStr">
        <is>
          <t>25%</t>
        </is>
      </c>
      <c r="E49">
        <f>C49*0.25</f>
        <v/>
      </c>
      <c r="F49" t="inlineStr">
        <is>
          <t>Base 50 + Volume up &gt;50%=+20, Positive trending=+12 | MAX BONUS: +25</t>
        </is>
      </c>
    </row>
    <row r="50">
      <c r="A50" s="4" t="inlineStr">
        <is>
          <t>MOMENTUM SCORE TOTAL</t>
        </is>
      </c>
      <c r="C50">
        <f>AVERAGE(C47:C49)</f>
        <v/>
      </c>
      <c r="E50" s="10">
        <f>SUM(E47:E49)</f>
        <v/>
      </c>
    </row>
    <row r="52">
      <c r="A52" s="8" t="inlineStr">
        <is>
          <t>Scale Inflection Score (10% weight)</t>
        </is>
      </c>
    </row>
    <row r="53">
      <c r="A53" s="9" t="inlineStr">
        <is>
          <t>Component</t>
        </is>
      </c>
      <c r="B53" s="9" t="inlineStr">
        <is>
          <t>Input Value</t>
        </is>
      </c>
      <c r="C53" s="9" t="inlineStr">
        <is>
          <t>Score (0-100)</t>
        </is>
      </c>
      <c r="D53" s="9" t="inlineStr">
        <is>
          <t>Weight</t>
        </is>
      </c>
      <c r="E53" s="9" t="inlineStr">
        <is>
          <t>Weighted Score</t>
        </is>
      </c>
      <c r="F53" s="9" t="inlineStr">
        <is>
          <t>Notes</t>
        </is>
      </c>
    </row>
    <row r="54">
      <c r="A54" t="inlineStr">
        <is>
          <t>Market Position</t>
        </is>
      </c>
      <c r="B54" t="inlineStr"/>
      <c r="C54" t="inlineStr"/>
      <c r="D54" t="inlineStr">
        <is>
          <t>30%</t>
        </is>
      </c>
      <c r="E54">
        <f>C54*0.3</f>
        <v/>
      </c>
      <c r="F54" t="inlineStr">
        <is>
          <t>Rapid gains 10%+ vs sector=100, Moderate 5-10%=80, Maintain=60</t>
        </is>
      </c>
    </row>
    <row r="55">
      <c r="A55" t="inlineStr">
        <is>
          <t>Operating Leverage</t>
        </is>
      </c>
      <c r="B55" t="inlineStr"/>
      <c r="C55" t="inlineStr"/>
      <c r="D55" t="inlineStr">
        <is>
          <t>30%</t>
        </is>
      </c>
      <c r="E55">
        <f>C55*0.3</f>
        <v/>
      </c>
      <c r="F55" t="inlineStr">
        <is>
          <t>&gt;400bps/yr=100, 250-400=85, 150-250=70, 100-150=55</t>
        </is>
      </c>
    </row>
    <row r="56">
      <c r="A56" t="inlineStr">
        <is>
          <t>Moat Formation</t>
        </is>
      </c>
      <c r="B56" t="inlineStr"/>
      <c r="C56" t="inlineStr"/>
      <c r="D56" t="inlineStr">
        <is>
          <t>25%</t>
        </is>
      </c>
      <c r="E56">
        <f>C56*0.25</f>
        <v/>
      </c>
      <c r="F56" t="inlineStr">
        <is>
          <t>Base 50 + Network=+25, Switching=+20, Scale=+15, Data=+15 | MAX BONUS: +30</t>
        </is>
      </c>
    </row>
    <row r="57">
      <c r="A57" t="inlineStr">
        <is>
          <t>Partnerships</t>
        </is>
      </c>
      <c r="B57" t="inlineStr"/>
      <c r="C57" t="inlineStr"/>
      <c r="D57" t="inlineStr">
        <is>
          <t>15%</t>
        </is>
      </c>
      <c r="E57">
        <f>C57*0.15</f>
        <v/>
      </c>
      <c r="F57" t="inlineStr">
        <is>
          <t>Base 50 + Major tech=+25, Gov/enterprise=+20, Integrations=+15 | MAX BONUS: +25</t>
        </is>
      </c>
    </row>
    <row r="58">
      <c r="A58" s="4" t="inlineStr">
        <is>
          <t>SCALE INFLECTION SCORE TOTAL</t>
        </is>
      </c>
      <c r="C58">
        <f>AVERAGE(C54:C57)</f>
        <v/>
      </c>
      <c r="E58" s="10">
        <f>SUM(E54:E57)</f>
        <v/>
      </c>
    </row>
    <row r="60">
      <c r="A60" s="11" t="inlineStr">
        <is>
          <t>COMPOSITE SCORE (Raw)</t>
        </is>
      </c>
      <c r="C60" s="12">
        <f>E24+E33+E43+E50+E58</f>
        <v/>
      </c>
    </row>
    <row r="61">
      <c r="A61" s="13" t="inlineStr">
        <is>
          <t>ADJUSTED COMPOSITE</t>
        </is>
      </c>
      <c r="C61" s="14">
        <f>C60+B17+B18</f>
        <v/>
      </c>
    </row>
    <row r="62">
      <c r="A62" s="4" t="inlineStr">
        <is>
          <t>RATING</t>
        </is>
      </c>
      <c r="C62" s="15">
        <f>IF(C61&gt;=80,"Strong Buy",IF(C61&gt;=70,"Buy",IF(C61&gt;=60,"Hold","Sell")))</f>
        <v/>
      </c>
    </row>
    <row r="63">
      <c r="A63" s="4" t="inlineStr">
        <is>
          <t>Score Buffer vs Min (67)</t>
        </is>
      </c>
      <c r="C63" s="16">
        <f>C61-67</f>
        <v/>
      </c>
    </row>
    <row r="65">
      <c r="A65" s="13" t="inlineStr">
        <is>
          <t>POSITION SIZING (Risk-Adjusted)</t>
        </is>
      </c>
    </row>
    <row r="66">
      <c r="A66" s="4" t="inlineStr">
        <is>
          <t>Beta Adjustment Factor</t>
        </is>
      </c>
      <c r="C66" s="16">
        <f>1+(B9-1)*1.3</f>
        <v/>
      </c>
    </row>
    <row r="67">
      <c r="A67" s="4" t="inlineStr">
        <is>
          <t>Drawdown Penalty Factor</t>
        </is>
      </c>
      <c r="C67" s="16">
        <f>IF(B10="",1,1+(B10/100)*0.5)</f>
        <v/>
      </c>
      <c r="F67" t="inlineStr">
        <is>
          <t>If 1Y Max DD = -30%, penalty = 1.15x</t>
        </is>
      </c>
    </row>
    <row r="68">
      <c r="A68" s="4" t="inlineStr">
        <is>
          <t>Combined Risk Factor</t>
        </is>
      </c>
      <c r="C68" s="16">
        <f>C66*C67</f>
        <v/>
      </c>
    </row>
    <row r="69">
      <c r="A69" s="4" t="inlineStr">
        <is>
          <t>Target Position %</t>
        </is>
      </c>
      <c r="C69" s="17">
        <f>(5%*C61/100)/C68</f>
        <v/>
      </c>
    </row>
    <row r="70">
      <c r="A70" s="4" t="inlineStr">
        <is>
          <t>Portfolio Value ($)</t>
        </is>
      </c>
      <c r="B70" s="18" t="n">
        <v>100000</v>
      </c>
    </row>
    <row r="71">
      <c r="A71" s="4" t="inlineStr">
        <is>
          <t>Target Dollar Amount</t>
        </is>
      </c>
      <c r="C71" s="18">
        <f>C69*B70</f>
        <v/>
      </c>
    </row>
    <row r="72">
      <c r="A72" s="4" t="inlineStr">
        <is>
          <t>Current Position Value</t>
        </is>
      </c>
      <c r="B72" s="18" t="inlineStr"/>
    </row>
    <row r="73">
      <c r="A73" s="4" t="inlineStr">
        <is>
          <t>Current Position %</t>
        </is>
      </c>
      <c r="C73" s="17">
        <f>IF(B70&gt;0,B72/B70,0)</f>
        <v/>
      </c>
    </row>
    <row r="74">
      <c r="A74" s="4" t="inlineStr">
        <is>
          <t>Drift %</t>
        </is>
      </c>
      <c r="C74" s="17">
        <f>IF(C69&gt;0,(C73-C69)/C69,0)</f>
        <v/>
      </c>
    </row>
    <row r="75">
      <c r="A75" s="4" t="inlineStr">
        <is>
          <t>Action</t>
        </is>
      </c>
      <c r="C75" s="4">
        <f>IF(C74&gt;0.10,"TRIM",IF(AND(C74&lt;-0.10,C61&gt;=67+8),"ADD IF STRONG","HOLD"))</f>
        <v/>
      </c>
    </row>
  </sheetData>
  <mergeCells count="12">
    <mergeCell ref="A4:B4"/>
    <mergeCell ref="A2:F2"/>
    <mergeCell ref="A52:F52"/>
    <mergeCell ref="A19:F19"/>
    <mergeCell ref="A60:B60"/>
    <mergeCell ref="A65:B65"/>
    <mergeCell ref="A1:F1"/>
    <mergeCell ref="A45:F45"/>
    <mergeCell ref="A35:F35"/>
    <mergeCell ref="A26:F26"/>
    <mergeCell ref="A61:B61"/>
    <mergeCell ref="A15:F15"/>
  </mergeCells>
  <conditionalFormatting sqref="C63">
    <cfRule type="cellIs" priority="1" operator="greaterThanOrEqual" dxfId="0">
      <formula>15</formula>
    </cfRule>
    <cfRule type="cellIs" priority="2" operator="between" dxfId="1">
      <formula>5</formula>
      <formula>14</formula>
    </cfRule>
    <cfRule type="cellIs" priority="3" operator="lessThan" dxfId="2">
      <formula>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2025-10-31T17:33:41Z</dcterms:created>
  <dcterms:modified xsi:type="dcterms:W3CDTF">2025-10-31T17:33:41Z</dcterms:modified>
</cp:coreProperties>
</file>