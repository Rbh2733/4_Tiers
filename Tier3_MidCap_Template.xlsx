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3 Mid-Cap Emer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FFFFFF"/>
      <sz val="12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2" fontId="6" fillId="7" borderId="0" pivotButton="0" quotePrefix="0" xfId="0"/>
    <xf numFmtId="0" fontId="7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0" customWidth="1" min="4" max="4"/>
    <col width="15" customWidth="1" min="5" max="5"/>
    <col width="72" customWidth="1" min="6" max="6"/>
  </cols>
  <sheetData>
    <row r="1">
      <c r="A1" s="1" t="inlineStr">
        <is>
          <t>TIER 3: MID-CAP EMERGING ($10-50B)</t>
        </is>
      </c>
    </row>
    <row r="2">
      <c r="A2" s="2" t="inlineStr">
        <is>
          <t>Minimum Score: 67 | Position Size: 3-5% | Risk: Moderate-High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Market Cap ($B)</t>
        </is>
      </c>
    </row>
    <row r="8">
      <c r="A8" s="4" t="inlineStr">
        <is>
          <t>Beta</t>
        </is>
      </c>
      <c r="B8" t="n">
        <v>1</v>
      </c>
    </row>
    <row r="9">
      <c r="A9" s="4" t="inlineStr">
        <is>
          <t>Current Price</t>
        </is>
      </c>
    </row>
    <row r="10">
      <c r="A10" s="4" t="inlineStr">
        <is>
          <t>Entry Price</t>
        </is>
      </c>
    </row>
    <row r="12">
      <c r="A12" s="5" t="inlineStr">
        <is>
          <t>Valuation Score (15% weight)</t>
        </is>
      </c>
    </row>
    <row r="13">
      <c r="A13" s="6" t="inlineStr">
        <is>
          <t>Component</t>
        </is>
      </c>
      <c r="B13" s="6" t="inlineStr">
        <is>
          <t>Input Value</t>
        </is>
      </c>
      <c r="C13" s="6" t="inlineStr">
        <is>
          <t>Score (0-100)</t>
        </is>
      </c>
      <c r="D13" s="6" t="inlineStr">
        <is>
          <t>Weight</t>
        </is>
      </c>
      <c r="E13" s="6" t="inlineStr">
        <is>
          <t>Weighted Score</t>
        </is>
      </c>
      <c r="F13" s="6" t="inlineStr">
        <is>
          <t>Notes</t>
        </is>
      </c>
    </row>
    <row r="14">
      <c r="A14" t="inlineStr">
        <is>
          <t>Price-to-Sales</t>
        </is>
      </c>
      <c r="B14" t="inlineStr"/>
      <c r="C14" t="inlineStr"/>
      <c r="D14" t="inlineStr">
        <is>
          <t>60%</t>
        </is>
      </c>
      <c r="E14">
        <f>C14*0.6</f>
        <v/>
      </c>
      <c r="F14" t="inlineStr">
        <is>
          <t>&lt;10x=100, 10-15=85, 15-22=70, 22-30=55, 30-40=40 + growth bonuses</t>
        </is>
      </c>
    </row>
    <row r="15">
      <c r="A15" t="inlineStr">
        <is>
          <t>Relative Valuation</t>
        </is>
      </c>
      <c r="B15" t="inlineStr"/>
      <c r="C15" t="inlineStr"/>
      <c r="D15" t="inlineStr">
        <is>
          <t>25%</t>
        </is>
      </c>
      <c r="E15">
        <f>C15*0.25</f>
        <v/>
      </c>
      <c r="F15" t="inlineStr">
        <is>
          <t>Below sector=100, At median=75, 1-1.5x=60, 1.5-2x=40, &gt;2x=20</t>
        </is>
      </c>
    </row>
    <row r="16">
      <c r="A16" t="inlineStr">
        <is>
          <t>Insider Ownership</t>
        </is>
      </c>
      <c r="B16" t="inlineStr"/>
      <c r="C16" t="inlineStr"/>
      <c r="D16" t="inlineStr">
        <is>
          <t>15%</t>
        </is>
      </c>
      <c r="E16">
        <f>C16*0.15</f>
        <v/>
      </c>
      <c r="F16" t="inlineStr">
        <is>
          <t>&gt;20%=100, 15-20%=90, 10-15%=75 + recent buying=+20</t>
        </is>
      </c>
    </row>
    <row r="17">
      <c r="A17" s="4" t="inlineStr">
        <is>
          <t>VALUATION SCORE TOTAL</t>
        </is>
      </c>
      <c r="C17">
        <f>AVERAGE(C14:C16)</f>
        <v/>
      </c>
      <c r="E17" s="7">
        <f>SUM(E14:E16)</f>
        <v/>
      </c>
    </row>
    <row r="19">
      <c r="A19" s="5" t="inlineStr">
        <is>
          <t>Quality Score (22% weight)</t>
        </is>
      </c>
    </row>
    <row r="20">
      <c r="A20" s="6" t="inlineStr">
        <is>
          <t>Component</t>
        </is>
      </c>
      <c r="B20" s="6" t="inlineStr">
        <is>
          <t>Input Value</t>
        </is>
      </c>
      <c r="C20" s="6" t="inlineStr">
        <is>
          <t>Score (0-100)</t>
        </is>
      </c>
      <c r="D20" s="6" t="inlineStr">
        <is>
          <t>Weight</t>
        </is>
      </c>
      <c r="E20" s="6" t="inlineStr">
        <is>
          <t>Weighted Score</t>
        </is>
      </c>
      <c r="F20" s="6" t="inlineStr">
        <is>
          <t>Notes</t>
        </is>
      </c>
    </row>
    <row r="21">
      <c r="A21" t="inlineStr">
        <is>
          <t>Revenue Scale</t>
        </is>
      </c>
      <c r="B21" t="inlineStr"/>
      <c r="C21" t="inlineStr"/>
      <c r="D21" t="inlineStr">
        <is>
          <t>18%</t>
        </is>
      </c>
      <c r="E21">
        <f>C21*0.18</f>
        <v/>
      </c>
      <c r="F21" t="inlineStr">
        <is>
          <t>&gt;$5B=100, $3-5B=85, $2-3B=75, $1-2B=60, $0.5-1B=45, &lt;$0.5B=30</t>
        </is>
      </c>
    </row>
    <row r="22">
      <c r="A22" t="inlineStr">
        <is>
          <t>Profitability Path</t>
        </is>
      </c>
      <c r="B22" t="inlineStr"/>
      <c r="C22" t="inlineStr"/>
      <c r="D22" t="inlineStr">
        <is>
          <t>20%</t>
        </is>
      </c>
      <c r="E22">
        <f>C22*0.2</f>
        <v/>
      </c>
      <c r="F22" t="inlineStr">
        <is>
          <t>Profitable &gt;15%=100, 10-15%=85, 5-10%=70, Path &lt;12mo=50</t>
        </is>
      </c>
    </row>
    <row r="23">
      <c r="A23" t="inlineStr">
        <is>
          <t>Gross Margin</t>
        </is>
      </c>
      <c r="B23" t="inlineStr"/>
      <c r="C23" t="inlineStr"/>
      <c r="D23" t="inlineStr">
        <is>
          <t>22%</t>
        </is>
      </c>
      <c r="E23">
        <f>C23*0.22</f>
        <v/>
      </c>
      <c r="F23" t="inlineStr">
        <is>
          <t>&gt;75%=100, 65-75%=90, 55-65%=80, 45-55%=65, 35-45%=50</t>
        </is>
      </c>
    </row>
    <row r="24">
      <c r="A24" t="inlineStr">
        <is>
          <t>Unit Economics</t>
        </is>
      </c>
      <c r="B24" t="inlineStr"/>
      <c r="C24" t="inlineStr"/>
      <c r="D24" t="inlineStr">
        <is>
          <t>20%</t>
        </is>
      </c>
      <c r="E24">
        <f>C24*0.2</f>
        <v/>
      </c>
      <c r="F24" t="inlineStr">
        <is>
          <t>LTV/CAC &gt;3x=100, 2-3x=75, 1-2x=40 | Payback &lt;12mo=85</t>
        </is>
      </c>
    </row>
    <row r="25">
      <c r="A25" t="inlineStr">
        <is>
          <t>Customer Quality</t>
        </is>
      </c>
      <c r="B25" t="inlineStr"/>
      <c r="C25" t="inlineStr"/>
      <c r="D25" t="inlineStr">
        <is>
          <t>20%</t>
        </is>
      </c>
      <c r="E25">
        <f>C25*0.2</f>
        <v/>
      </c>
      <c r="F25" t="inlineStr">
        <is>
          <t>NRR &gt;125%=100, 115-125%=85, 105-115%=70 | Non-SaaS: best metric</t>
        </is>
      </c>
    </row>
    <row r="26">
      <c r="A26" s="4" t="inlineStr">
        <is>
          <t>QUALITY SCORE TOTAL</t>
        </is>
      </c>
      <c r="C26">
        <f>AVERAGE(C21:C25)</f>
        <v/>
      </c>
      <c r="E26" s="7">
        <f>SUM(E21:E25)</f>
        <v/>
      </c>
    </row>
    <row r="28">
      <c r="A28" s="5" t="inlineStr">
        <is>
          <t>Growth Score (38% weight)</t>
        </is>
      </c>
    </row>
    <row r="29">
      <c r="A29" s="6" t="inlineStr">
        <is>
          <t>Component</t>
        </is>
      </c>
      <c r="B29" s="6" t="inlineStr">
        <is>
          <t>Input Value</t>
        </is>
      </c>
      <c r="C29" s="6" t="inlineStr">
        <is>
          <t>Score (0-100)</t>
        </is>
      </c>
      <c r="D29" s="6" t="inlineStr">
        <is>
          <t>Weight</t>
        </is>
      </c>
      <c r="E29" s="6" t="inlineStr">
        <is>
          <t>Weighted Score</t>
        </is>
      </c>
      <c r="F29" s="6" t="inlineStr">
        <is>
          <t>Notes</t>
        </is>
      </c>
    </row>
    <row r="30">
      <c r="A30" t="inlineStr">
        <is>
          <t>Revenue Growth</t>
        </is>
      </c>
      <c r="B30" t="inlineStr"/>
      <c r="C30" t="inlineStr"/>
      <c r="D30" t="inlineStr">
        <is>
          <t>28%</t>
        </is>
      </c>
      <c r="E30">
        <f>C30*0.28</f>
        <v/>
      </c>
      <c r="F30" t="inlineStr">
        <is>
          <t>&gt;50%=100, 40-50%=90, 32-40%=80, 25-32%=70, 20-25%=55</t>
        </is>
      </c>
    </row>
    <row r="31">
      <c r="A31" t="inlineStr">
        <is>
          <t>Growth Acceleration</t>
        </is>
      </c>
      <c r="B31" t="inlineStr"/>
      <c r="C31" t="inlineStr"/>
      <c r="D31" t="inlineStr">
        <is>
          <t>18%</t>
        </is>
      </c>
      <c r="E31">
        <f>C31*0.18</f>
        <v/>
      </c>
      <c r="F31" t="inlineStr">
        <is>
          <t>4+ qtrs accel=100, 3 qtrs=90, 2 qtrs=75, Stable high 30%+=60</t>
        </is>
      </c>
    </row>
    <row r="32">
      <c r="A32" t="inlineStr">
        <is>
          <t>Forward Estimates</t>
        </is>
      </c>
      <c r="B32" t="inlineStr"/>
      <c r="C32" t="inlineStr"/>
      <c r="D32" t="inlineStr">
        <is>
          <t>18%</t>
        </is>
      </c>
      <c r="E32">
        <f>C32*0.18</f>
        <v/>
      </c>
      <c r="F32" t="inlineStr">
        <is>
          <t>&gt;40%=100, 32-40%=85, 25-32%=70 + accel &gt;8%=+20</t>
        </is>
      </c>
    </row>
    <row r="33">
      <c r="A33" t="inlineStr">
        <is>
          <t>TAM &amp; Penetration</t>
        </is>
      </c>
      <c r="B33" t="inlineStr"/>
      <c r="C33" t="inlineStr"/>
      <c r="D33" t="inlineStr">
        <is>
          <t>18%</t>
        </is>
      </c>
      <c r="E33">
        <f>C33*0.18</f>
        <v/>
      </c>
      <c r="F33" t="inlineStr">
        <is>
          <t>&gt;$75B TAM &lt;8% pen=100, $50-75B &lt;12%=85, adjust down</t>
        </is>
      </c>
    </row>
    <row r="34">
      <c r="A34" t="inlineStr">
        <is>
          <t>Growth Driver Diversity</t>
        </is>
      </c>
      <c r="B34" t="inlineStr"/>
      <c r="C34" t="inlineStr"/>
      <c r="D34" t="inlineStr">
        <is>
          <t>12%</t>
        </is>
      </c>
      <c r="E34">
        <f>C34*0.12</f>
        <v/>
      </c>
      <c r="F34" t="inlineStr">
        <is>
          <t>Base 50 + Multiple segments=+30, Geo=+20, Platform=+20</t>
        </is>
      </c>
    </row>
    <row r="35">
      <c r="A35" t="inlineStr">
        <is>
          <t>Cyclicality</t>
        </is>
      </c>
      <c r="B35" t="inlineStr"/>
      <c r="C35" t="inlineStr"/>
      <c r="D35" t="inlineStr">
        <is>
          <t>6%</t>
        </is>
      </c>
      <c r="E35">
        <f>C35*0.06</f>
        <v/>
      </c>
      <c r="F35" t="inlineStr">
        <is>
          <t>Non-cyclical=100, Early cycle+secular=85, Mid=70, Late=45</t>
        </is>
      </c>
    </row>
    <row r="36">
      <c r="A36" s="4" t="inlineStr">
        <is>
          <t>GROWTH SCORE TOTAL</t>
        </is>
      </c>
      <c r="C36">
        <f>AVERAGE(C30:C35)</f>
        <v/>
      </c>
      <c r="E36" s="7">
        <f>SUM(E30:E35)</f>
        <v/>
      </c>
    </row>
    <row r="38">
      <c r="A38" s="5" t="inlineStr">
        <is>
          <t>Momentum Score (15% weight)</t>
        </is>
      </c>
    </row>
    <row r="39">
      <c r="A39" s="6" t="inlineStr">
        <is>
          <t>Component</t>
        </is>
      </c>
      <c r="B39" s="6" t="inlineStr">
        <is>
          <t>Input Value</t>
        </is>
      </c>
      <c r="C39" s="6" t="inlineStr">
        <is>
          <t>Score (0-100)</t>
        </is>
      </c>
      <c r="D39" s="6" t="inlineStr">
        <is>
          <t>Weight</t>
        </is>
      </c>
      <c r="E39" s="6" t="inlineStr">
        <is>
          <t>Weighted Score</t>
        </is>
      </c>
      <c r="F39" s="6" t="inlineStr">
        <is>
          <t>Notes</t>
        </is>
      </c>
    </row>
    <row r="40">
      <c r="A40" t="inlineStr">
        <is>
          <t>6-Month Return</t>
        </is>
      </c>
      <c r="B40" t="inlineStr"/>
      <c r="C40" t="inlineStr"/>
      <c r="D40" t="inlineStr">
        <is>
          <t>40%</t>
        </is>
      </c>
      <c r="E40">
        <f>C40*0.4</f>
        <v/>
      </c>
      <c r="F40" t="inlineStr">
        <is>
          <t>&gt;70%=100, 50-70%=90, 30-50%=75, 15-30%=55, 0-15%=40, &lt;0%=60</t>
        </is>
      </c>
    </row>
    <row r="41">
      <c r="A41" t="inlineStr">
        <is>
          <t>Relative Strength vs IWM</t>
        </is>
      </c>
      <c r="B41" t="inlineStr"/>
      <c r="C41" t="inlineStr"/>
      <c r="D41" t="inlineStr">
        <is>
          <t>35%</t>
        </is>
      </c>
      <c r="E41">
        <f>C41*0.35</f>
        <v/>
      </c>
      <c r="F41" t="inlineStr">
        <is>
          <t>&gt;20% outperform=100, 12-20%=80, 5-12%=60 + upgrades</t>
        </is>
      </c>
    </row>
    <row r="42">
      <c r="A42" t="inlineStr">
        <is>
          <t>Volume &amp; Sentiment</t>
        </is>
      </c>
      <c r="B42" t="inlineStr"/>
      <c r="C42" t="inlineStr"/>
      <c r="D42" t="inlineStr">
        <is>
          <t>25%</t>
        </is>
      </c>
      <c r="E42">
        <f>C42*0.25</f>
        <v/>
      </c>
      <c r="F42" t="inlineStr">
        <is>
          <t>Base 50 + Volume up &gt;50%=+25, Positive trending=+15</t>
        </is>
      </c>
    </row>
    <row r="43">
      <c r="A43" s="4" t="inlineStr">
        <is>
          <t>MOMENTUM SCORE TOTAL</t>
        </is>
      </c>
      <c r="C43">
        <f>AVERAGE(C40:C42)</f>
        <v/>
      </c>
      <c r="E43" s="7">
        <f>SUM(E40:E42)</f>
        <v/>
      </c>
    </row>
    <row r="45">
      <c r="A45" s="5" t="inlineStr">
        <is>
          <t>Scale Inflection Score (10% weight)</t>
        </is>
      </c>
    </row>
    <row r="46">
      <c r="A46" s="6" t="inlineStr">
        <is>
          <t>Component</t>
        </is>
      </c>
      <c r="B46" s="6" t="inlineStr">
        <is>
          <t>Input Value</t>
        </is>
      </c>
      <c r="C46" s="6" t="inlineStr">
        <is>
          <t>Score (0-100)</t>
        </is>
      </c>
      <c r="D46" s="6" t="inlineStr">
        <is>
          <t>Weight</t>
        </is>
      </c>
      <c r="E46" s="6" t="inlineStr">
        <is>
          <t>Weighted Score</t>
        </is>
      </c>
      <c r="F46" s="6" t="inlineStr">
        <is>
          <t>Notes</t>
        </is>
      </c>
    </row>
    <row r="47">
      <c r="A47" t="inlineStr">
        <is>
          <t>Market Position</t>
        </is>
      </c>
      <c r="B47" t="inlineStr"/>
      <c r="C47" t="inlineStr"/>
      <c r="D47" t="inlineStr">
        <is>
          <t>30%</t>
        </is>
      </c>
      <c r="E47">
        <f>C47*0.3</f>
        <v/>
      </c>
      <c r="F47" t="inlineStr">
        <is>
          <t>Rapid gains 10%+ vs sector=100, Moderate 5-10%=80, Maintain=60</t>
        </is>
      </c>
    </row>
    <row r="48">
      <c r="A48" t="inlineStr">
        <is>
          <t>Operating Leverage</t>
        </is>
      </c>
      <c r="B48" t="inlineStr"/>
      <c r="C48" t="inlineStr"/>
      <c r="D48" t="inlineStr">
        <is>
          <t>30%</t>
        </is>
      </c>
      <c r="E48">
        <f>C48*0.3</f>
        <v/>
      </c>
      <c r="F48" t="inlineStr">
        <is>
          <t>&gt;400bps/yr=100, 250-400=85, 150-250=70, 100-150=55</t>
        </is>
      </c>
    </row>
    <row r="49">
      <c r="A49" t="inlineStr">
        <is>
          <t>Moat Formation</t>
        </is>
      </c>
      <c r="B49" t="inlineStr"/>
      <c r="C49" t="inlineStr"/>
      <c r="D49" t="inlineStr">
        <is>
          <t>25%</t>
        </is>
      </c>
      <c r="E49">
        <f>C49*0.25</f>
        <v/>
      </c>
      <c r="F49" t="inlineStr">
        <is>
          <t>Base 50 + Network=+30, Switching=+25, Scale=+20, Data=+20</t>
        </is>
      </c>
    </row>
    <row r="50">
      <c r="A50" t="inlineStr">
        <is>
          <t>Partnerships</t>
        </is>
      </c>
      <c r="B50" t="inlineStr"/>
      <c r="C50" t="inlineStr"/>
      <c r="D50" t="inlineStr">
        <is>
          <t>15%</t>
        </is>
      </c>
      <c r="E50">
        <f>C50*0.15</f>
        <v/>
      </c>
      <c r="F50" t="inlineStr">
        <is>
          <t>Base 50 + Major tech=+30, Gov/enterprise=+25, Integrations=+20</t>
        </is>
      </c>
    </row>
    <row r="51">
      <c r="A51" s="4" t="inlineStr">
        <is>
          <t>SCALE INFLECTION SCORE TOTAL</t>
        </is>
      </c>
      <c r="C51">
        <f>AVERAGE(C47:C50)</f>
        <v/>
      </c>
      <c r="E51" s="7">
        <f>SUM(E47:E50)</f>
        <v/>
      </c>
    </row>
    <row r="53">
      <c r="A53" s="8" t="inlineStr">
        <is>
          <t>COMPOSITE SCORE</t>
        </is>
      </c>
      <c r="C53" s="9">
        <f>E17+E26+E36+E43+E51</f>
        <v/>
      </c>
    </row>
    <row r="54">
      <c r="A54" s="4" t="inlineStr">
        <is>
          <t>RATING</t>
        </is>
      </c>
      <c r="C54" s="10">
        <f>IF(C53&gt;=80,"Strong Buy",IF(C53&gt;=70,"Buy",IF(C53&gt;=60,"Hold","Sell")))</f>
        <v/>
      </c>
    </row>
    <row r="55">
      <c r="A55" s="4" t="inlineStr">
        <is>
          <t>Score Buffer vs Min (67)</t>
        </is>
      </c>
      <c r="C55" s="11">
        <f>C53-67</f>
        <v/>
      </c>
    </row>
    <row r="57">
      <c r="A57" s="8" t="inlineStr">
        <is>
          <t>POSITION SIZING</t>
        </is>
      </c>
    </row>
    <row r="58">
      <c r="A58" s="4" t="inlineStr">
        <is>
          <t>Target Position %</t>
        </is>
      </c>
      <c r="C58" s="12">
        <f>(5%*C53/100)/(1+(B9-1)*1.3)</f>
        <v/>
      </c>
    </row>
    <row r="59">
      <c r="A59" s="4" t="inlineStr">
        <is>
          <t>Portfolio Value ($)</t>
        </is>
      </c>
      <c r="B59" s="13" t="n">
        <v>100000</v>
      </c>
    </row>
    <row r="60">
      <c r="A60" s="4" t="inlineStr">
        <is>
          <t>Target Dollar Amount</t>
        </is>
      </c>
      <c r="C60" s="13">
        <f>C58*B59</f>
        <v/>
      </c>
    </row>
    <row r="61">
      <c r="A61" s="4" t="inlineStr">
        <is>
          <t>Current Position Value</t>
        </is>
      </c>
      <c r="B61" s="13" t="inlineStr"/>
    </row>
    <row r="62">
      <c r="A62" s="4" t="inlineStr">
        <is>
          <t>Current Position %</t>
        </is>
      </c>
      <c r="C62" s="12">
        <f>IF(B59&gt;0,B61/B59,0)</f>
        <v/>
      </c>
    </row>
    <row r="63">
      <c r="A63" s="4" t="inlineStr">
        <is>
          <t>Drift %</t>
        </is>
      </c>
      <c r="C63" s="12">
        <f>IF(C58&gt;0,(C62-C58)/C58,0)</f>
        <v/>
      </c>
    </row>
    <row r="64">
      <c r="A64" s="4" t="inlineStr">
        <is>
          <t>Action</t>
        </is>
      </c>
      <c r="C64" s="4">
        <f>IF(C63&gt;0.10,"TRIM",IF(AND(C63&lt;-0.10,C53&gt;=67+8),"ADD IF STRONG","HOLD"))</f>
        <v/>
      </c>
    </row>
  </sheetData>
  <mergeCells count="10">
    <mergeCell ref="A4:B4"/>
    <mergeCell ref="A2:F2"/>
    <mergeCell ref="A38:F38"/>
    <mergeCell ref="A28:F28"/>
    <mergeCell ref="A19:F19"/>
    <mergeCell ref="A57:B57"/>
    <mergeCell ref="A1:F1"/>
    <mergeCell ref="A45:F45"/>
    <mergeCell ref="A12:F12"/>
    <mergeCell ref="A53:B53"/>
  </mergeCells>
  <conditionalFormatting sqref="C55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2025-10-28T18:19:09Z</dcterms:created>
  <dcterms:modified xsi:type="dcterms:W3CDTF">2025-10-28T18:19:09Z</dcterms:modified>
</cp:coreProperties>
</file>