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4 Small-Cap Moon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.00"/>
    <numFmt numFmtId="165" formatCode="0.0%"/>
    <numFmt numFmtId="166" formatCode="$#,##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C00000"/>
      <sz val="11"/>
    </font>
    <font>
      <b val="1"/>
      <color rgb="00FFFFFF"/>
      <sz val="12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0" fontId="6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6" fillId="7" borderId="0" pivotButton="0" quotePrefix="0" xfId="0"/>
    <xf numFmtId="2" fontId="7" fillId="8" borderId="0" pivotButton="0" quotePrefix="0" xfId="0"/>
    <xf numFmtId="0" fontId="8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0" customWidth="1" min="4" max="4"/>
    <col width="15" customWidth="1" min="5" max="5"/>
    <col width="75" customWidth="1" min="6" max="6"/>
  </cols>
  <sheetData>
    <row r="1">
      <c r="A1" s="1" t="inlineStr">
        <is>
          <t>TIER 4: SMALL-CAP MOONSHOTS (&lt;$10B)</t>
        </is>
      </c>
    </row>
    <row r="2">
      <c r="A2" s="2" t="inlineStr">
        <is>
          <t>Minimum Score: 70 | Position Size: 1-3% | Risk: Highest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Market Cap ($B)</t>
        </is>
      </c>
    </row>
    <row r="8">
      <c r="A8" s="4" t="inlineStr">
        <is>
          <t>Beta</t>
        </is>
      </c>
      <c r="B8" t="n">
        <v>1</v>
      </c>
    </row>
    <row r="9">
      <c r="A9" s="4" t="inlineStr">
        <is>
          <t>Current Price</t>
        </is>
      </c>
    </row>
    <row r="10">
      <c r="A10" s="4" t="inlineStr">
        <is>
          <t>Entry Price</t>
        </is>
      </c>
    </row>
    <row r="11">
      <c r="A11" s="5" t="inlineStr">
        <is>
          <t>⚠️ STOP LOSS: -40% from entry (MANDATORY)</t>
        </is>
      </c>
    </row>
    <row r="12">
      <c r="A12" s="4" t="inlineStr">
        <is>
          <t>Stop Loss Price</t>
        </is>
      </c>
      <c r="B12" s="6">
        <f>B10*0.6</f>
        <v/>
      </c>
    </row>
    <row r="13">
      <c r="A13" s="7" t="inlineStr">
        <is>
          <t>Valuation Score (10% weight)</t>
        </is>
      </c>
    </row>
    <row r="14">
      <c r="A14" s="8" t="inlineStr">
        <is>
          <t>Component</t>
        </is>
      </c>
      <c r="B14" s="8" t="inlineStr">
        <is>
          <t>Input Value</t>
        </is>
      </c>
      <c r="C14" s="8" t="inlineStr">
        <is>
          <t>Score (0-100)</t>
        </is>
      </c>
      <c r="D14" s="8" t="inlineStr">
        <is>
          <t>Weight</t>
        </is>
      </c>
      <c r="E14" s="8" t="inlineStr">
        <is>
          <t>Weighted Score</t>
        </is>
      </c>
      <c r="F14" s="8" t="inlineStr">
        <is>
          <t>Notes</t>
        </is>
      </c>
    </row>
    <row r="15">
      <c r="A15" t="inlineStr">
        <is>
          <t>Price-to-Sales</t>
        </is>
      </c>
      <c r="B15" t="inlineStr"/>
      <c r="C15" t="inlineStr"/>
      <c r="D15" t="inlineStr">
        <is>
          <t>60%</t>
        </is>
      </c>
      <c r="E15">
        <f>C15*0.6</f>
        <v/>
      </c>
      <c r="F15" t="inlineStr">
        <is>
          <t>&lt;12x=100, 12-20=85, 20-35=70, 35-50=50 + hypergrowth bonuses</t>
        </is>
      </c>
    </row>
    <row r="16">
      <c r="A16" t="inlineStr">
        <is>
          <t>Relative Valuation</t>
        </is>
      </c>
      <c r="B16" t="inlineStr"/>
      <c r="C16" t="inlineStr"/>
      <c r="D16" t="inlineStr">
        <is>
          <t>25%</t>
        </is>
      </c>
      <c r="E16">
        <f>C16*0.25</f>
        <v/>
      </c>
      <c r="F16" t="inlineStr">
        <is>
          <t>Below median=100, At median=75, 1-2x=60, 2-3x=40, &gt;3x=20</t>
        </is>
      </c>
    </row>
    <row r="17">
      <c r="A17" t="inlineStr">
        <is>
          <t>Insider Ownership</t>
        </is>
      </c>
      <c r="B17" t="inlineStr"/>
      <c r="C17" t="inlineStr"/>
      <c r="D17" t="inlineStr">
        <is>
          <t>15%</t>
        </is>
      </c>
      <c r="E17">
        <f>C17*0.15</f>
        <v/>
      </c>
      <c r="F17" t="inlineStr">
        <is>
          <t>&gt;25%=100, 20-25%=90, 15-20%=80 + buying=+20, Founder &gt;30%=+20</t>
        </is>
      </c>
    </row>
    <row r="18">
      <c r="A18" s="4" t="inlineStr">
        <is>
          <t>VALUATION SCORE TOTAL</t>
        </is>
      </c>
      <c r="C18">
        <f>AVERAGE(C15:C17)</f>
        <v/>
      </c>
      <c r="E18" s="9">
        <f>SUM(E15:E17)</f>
        <v/>
      </c>
    </row>
    <row r="20">
      <c r="A20" s="7" t="inlineStr">
        <is>
          <t>Quality Score (15% weight)</t>
        </is>
      </c>
    </row>
    <row r="21">
      <c r="A21" s="8" t="inlineStr">
        <is>
          <t>Component</t>
        </is>
      </c>
      <c r="B21" s="8" t="inlineStr">
        <is>
          <t>Input Value</t>
        </is>
      </c>
      <c r="C21" s="8" t="inlineStr">
        <is>
          <t>Score (0-100)</t>
        </is>
      </c>
      <c r="D21" s="8" t="inlineStr">
        <is>
          <t>Weight</t>
        </is>
      </c>
      <c r="E21" s="8" t="inlineStr">
        <is>
          <t>Weighted Score</t>
        </is>
      </c>
      <c r="F21" s="8" t="inlineStr">
        <is>
          <t>Notes</t>
        </is>
      </c>
    </row>
    <row r="22">
      <c r="A22" t="inlineStr">
        <is>
          <t>Gross Margin</t>
        </is>
      </c>
      <c r="B22" t="inlineStr"/>
      <c r="C22" t="inlineStr"/>
      <c r="D22" t="inlineStr">
        <is>
          <t>30%</t>
        </is>
      </c>
      <c r="E22">
        <f>C22*0.3</f>
        <v/>
      </c>
      <c r="F22" t="inlineStr">
        <is>
          <t>&gt;70%=100, 60-70%=85, 50-60%=70, 40-50%=50, 30-40%=35</t>
        </is>
      </c>
    </row>
    <row r="23">
      <c r="A23" t="inlineStr">
        <is>
          <t>Revenue Quality</t>
        </is>
      </c>
      <c r="B23" t="inlineStr"/>
      <c r="C23" t="inlineStr"/>
      <c r="D23" t="inlineStr">
        <is>
          <t>30%</t>
        </is>
      </c>
      <c r="E23">
        <f>C23*0.3</f>
        <v/>
      </c>
      <c r="F23" t="inlineStr">
        <is>
          <t>Base 50 + &gt;70% recurring=+30, NRR&gt;110%=+20, Low concentration=+15</t>
        </is>
      </c>
    </row>
    <row r="24">
      <c r="A24" t="inlineStr">
        <is>
          <t>Unit Economics</t>
        </is>
      </c>
      <c r="B24" t="inlineStr"/>
      <c r="C24" t="inlineStr"/>
      <c r="D24" t="inlineStr">
        <is>
          <t>20%</t>
        </is>
      </c>
      <c r="E24">
        <f>C24*0.2</f>
        <v/>
      </c>
      <c r="F24" t="inlineStr">
        <is>
          <t>LTV/CAC &gt;3x=100, 2-3x=75, 1-2x=40 | Payback &lt;12mo=85</t>
        </is>
      </c>
    </row>
    <row r="25">
      <c r="A25" t="inlineStr">
        <is>
          <t>Path to Profitability</t>
        </is>
      </c>
      <c r="B25" t="inlineStr"/>
      <c r="C25" t="inlineStr"/>
      <c r="D25" t="inlineStr">
        <is>
          <t>20%</t>
        </is>
      </c>
      <c r="E25">
        <f>C25*0.2</f>
        <v/>
      </c>
      <c r="F25" t="inlineStr">
        <is>
          <t>Profitable=100, &lt;12mo=80, 12-24mo=60, 24-36mo=40, &gt;36mo=25</t>
        </is>
      </c>
    </row>
    <row r="26">
      <c r="A26" s="4" t="inlineStr">
        <is>
          <t>QUALITY SCORE TOTAL</t>
        </is>
      </c>
      <c r="C26">
        <f>AVERAGE(C22:C25)</f>
        <v/>
      </c>
      <c r="E26" s="9">
        <f>SUM(E22:E25)</f>
        <v/>
      </c>
    </row>
    <row r="28">
      <c r="A28" s="7" t="inlineStr">
        <is>
          <t>Growth Score (40% weight)</t>
        </is>
      </c>
    </row>
    <row r="29">
      <c r="A29" s="8" t="inlineStr">
        <is>
          <t>Component</t>
        </is>
      </c>
      <c r="B29" s="8" t="inlineStr">
        <is>
          <t>Input Value</t>
        </is>
      </c>
      <c r="C29" s="8" t="inlineStr">
        <is>
          <t>Score (0-100)</t>
        </is>
      </c>
      <c r="D29" s="8" t="inlineStr">
        <is>
          <t>Weight</t>
        </is>
      </c>
      <c r="E29" s="8" t="inlineStr">
        <is>
          <t>Weighted Score</t>
        </is>
      </c>
      <c r="F29" s="8" t="inlineStr">
        <is>
          <t>Notes</t>
        </is>
      </c>
    </row>
    <row r="30">
      <c r="A30" t="inlineStr">
        <is>
          <t>Revenue Growth</t>
        </is>
      </c>
      <c r="B30" t="inlineStr"/>
      <c r="C30" t="inlineStr"/>
      <c r="D30" t="inlineStr">
        <is>
          <t>28%</t>
        </is>
      </c>
      <c r="E30">
        <f>C30*0.28</f>
        <v/>
      </c>
      <c r="F30" t="inlineStr">
        <is>
          <t>&gt;100%=100, 75-100%=95, 55-75%=85, 40-55%=70, 30-40%=50</t>
        </is>
      </c>
    </row>
    <row r="31">
      <c r="A31" t="inlineStr">
        <is>
          <t>Growth Consistency</t>
        </is>
      </c>
      <c r="B31" t="inlineStr"/>
      <c r="C31" t="inlineStr"/>
      <c r="D31" t="inlineStr">
        <is>
          <t>15%</t>
        </is>
      </c>
      <c r="E31">
        <f>C31*0.15</f>
        <v/>
      </c>
      <c r="F31" t="inlineStr">
        <is>
          <t>5+ qtrs accel=100, 4 qtrs=90, 3 qtrs=80, Stable 40%+=70</t>
        </is>
      </c>
    </row>
    <row r="32">
      <c r="A32" t="inlineStr">
        <is>
          <t>TAM Size</t>
        </is>
      </c>
      <c r="B32" t="inlineStr"/>
      <c r="C32" t="inlineStr"/>
      <c r="D32" t="inlineStr">
        <is>
          <t>15%</t>
        </is>
      </c>
      <c r="E32">
        <f>C32*0.15</f>
        <v/>
      </c>
      <c r="F32" t="inlineStr">
        <is>
          <t>&gt;$150B=100, $100-150B=90, $50-100B=75, $25-50B=55, &lt;$25B=35</t>
        </is>
      </c>
    </row>
    <row r="33">
      <c r="A33" t="inlineStr">
        <is>
          <t>Market Penetration</t>
        </is>
      </c>
      <c r="B33" t="inlineStr"/>
      <c r="C33" t="inlineStr"/>
      <c r="D33" t="inlineStr">
        <is>
          <t>10%</t>
        </is>
      </c>
      <c r="E33">
        <f>C33*0.1</f>
        <v/>
      </c>
      <c r="F33" t="inlineStr">
        <is>
          <t>&lt;3%=100, 3-5%=90, 5-10%=75, 10-15%=55, &gt;15%=35</t>
        </is>
      </c>
    </row>
    <row r="34">
      <c r="A34" t="inlineStr">
        <is>
          <t>Growth Driver Strength</t>
        </is>
      </c>
      <c r="B34" t="inlineStr"/>
      <c r="C34" t="inlineStr"/>
      <c r="D34" t="inlineStr">
        <is>
          <t>15%</t>
        </is>
      </c>
      <c r="E34">
        <f>C34*0.15</f>
        <v/>
      </c>
      <c r="F34" t="inlineStr">
        <is>
          <t>Base 50 + Network=+25, Viral&gt;50%=+25, Platform=+20</t>
        </is>
      </c>
    </row>
    <row r="35">
      <c r="A35" t="inlineStr">
        <is>
          <t>Forward Estimates</t>
        </is>
      </c>
      <c r="B35" t="inlineStr"/>
      <c r="C35" t="inlineStr"/>
      <c r="D35" t="inlineStr">
        <is>
          <t>12%</t>
        </is>
      </c>
      <c r="E35">
        <f>C35*0.12</f>
        <v/>
      </c>
      <c r="F35" t="inlineStr">
        <is>
          <t>&gt;60%=100, 50-60%=90, 40-50%=80 + accel &gt;12%=+20</t>
        </is>
      </c>
    </row>
    <row r="36">
      <c r="A36" t="inlineStr">
        <is>
          <t>Catalyst Pipeline</t>
        </is>
      </c>
      <c r="B36" t="inlineStr"/>
      <c r="C36" t="inlineStr"/>
      <c r="D36" t="inlineStr">
        <is>
          <t>5%</t>
        </is>
      </c>
      <c r="E36">
        <f>C36*0.05</f>
        <v/>
      </c>
      <c r="F36" t="inlineStr">
        <is>
          <t>Base 50 + Launch=+30, Market expand=+25, Partnership=+25</t>
        </is>
      </c>
    </row>
    <row r="37">
      <c r="A37" s="4" t="inlineStr">
        <is>
          <t>GROWTH SCORE TOTAL</t>
        </is>
      </c>
      <c r="C37">
        <f>AVERAGE(C30:C36)</f>
        <v/>
      </c>
      <c r="E37" s="9">
        <f>SUM(E30:E36)</f>
        <v/>
      </c>
    </row>
    <row r="39">
      <c r="A39" s="7" t="inlineStr">
        <is>
          <t>Momentum Score (15% weight)</t>
        </is>
      </c>
    </row>
    <row r="40">
      <c r="A40" s="8" t="inlineStr">
        <is>
          <t>Component</t>
        </is>
      </c>
      <c r="B40" s="8" t="inlineStr">
        <is>
          <t>Input Value</t>
        </is>
      </c>
      <c r="C40" s="8" t="inlineStr">
        <is>
          <t>Score (0-100)</t>
        </is>
      </c>
      <c r="D40" s="8" t="inlineStr">
        <is>
          <t>Weight</t>
        </is>
      </c>
      <c r="E40" s="8" t="inlineStr">
        <is>
          <t>Weighted Score</t>
        </is>
      </c>
      <c r="F40" s="8" t="inlineStr">
        <is>
          <t>Notes</t>
        </is>
      </c>
    </row>
    <row r="41">
      <c r="A41" t="inlineStr">
        <is>
          <t>6-Month Return</t>
        </is>
      </c>
      <c r="B41" t="inlineStr"/>
      <c r="C41" t="inlineStr"/>
      <c r="D41" t="inlineStr">
        <is>
          <t>40%</t>
        </is>
      </c>
      <c r="E41">
        <f>C41*0.4</f>
        <v/>
      </c>
      <c r="F41" t="inlineStr">
        <is>
          <t>&gt;100%=100, 70-100%=95, 50-70%=85, 30-50%=70, &lt;0%=60 oversold</t>
        </is>
      </c>
    </row>
    <row r="42">
      <c r="A42" t="inlineStr">
        <is>
          <t>Relative Strength vs IWO</t>
        </is>
      </c>
      <c r="B42" t="inlineStr"/>
      <c r="C42" t="inlineStr"/>
      <c r="D42" t="inlineStr">
        <is>
          <t>30%</t>
        </is>
      </c>
      <c r="E42">
        <f>C42*0.3</f>
        <v/>
      </c>
      <c r="F42" t="inlineStr">
        <is>
          <t>&gt;30% outperform=100, 20-30%=85, 10-20%=65, 0-10%=45</t>
        </is>
      </c>
    </row>
    <row r="43">
      <c r="A43" t="inlineStr">
        <is>
          <t>Social Sentiment</t>
        </is>
      </c>
      <c r="B43" t="inlineStr"/>
      <c r="C43" t="inlineStr"/>
      <c r="D43" t="inlineStr">
        <is>
          <t>20%</t>
        </is>
      </c>
      <c r="E43">
        <f>C43*0.2</f>
        <v/>
      </c>
      <c r="F43" t="inlineStr">
        <is>
          <t>Base 50 + Bullish mentions=+25, Upgrades=+25, avoid meme=-20</t>
        </is>
      </c>
    </row>
    <row r="44">
      <c r="A44" t="inlineStr">
        <is>
          <t>Volume Surge</t>
        </is>
      </c>
      <c r="B44" t="inlineStr"/>
      <c r="C44" t="inlineStr"/>
      <c r="D44" t="inlineStr">
        <is>
          <t>10%</t>
        </is>
      </c>
      <c r="E44">
        <f>C44*0.1</f>
        <v/>
      </c>
      <c r="F44" t="inlineStr">
        <is>
          <t>&gt;75% increase=100, 50-75%=85, 25-50%=65, Stable=50</t>
        </is>
      </c>
    </row>
    <row r="45">
      <c r="A45" s="4" t="inlineStr">
        <is>
          <t>MOMENTUM SCORE TOTAL</t>
        </is>
      </c>
      <c r="C45">
        <f>AVERAGE(C41:C44)</f>
        <v/>
      </c>
      <c r="E45" s="9">
        <f>SUM(E41:E44)</f>
        <v/>
      </c>
    </row>
    <row r="47">
      <c r="A47" s="7" t="inlineStr">
        <is>
          <t>Disruption Potential Score (20% weight)</t>
        </is>
      </c>
    </row>
    <row r="48">
      <c r="A48" s="8" t="inlineStr">
        <is>
          <t>Component</t>
        </is>
      </c>
      <c r="B48" s="8" t="inlineStr">
        <is>
          <t>Input Value</t>
        </is>
      </c>
      <c r="C48" s="8" t="inlineStr">
        <is>
          <t>Score (0-100)</t>
        </is>
      </c>
      <c r="D48" s="8" t="inlineStr">
        <is>
          <t>Weight</t>
        </is>
      </c>
      <c r="E48" s="8" t="inlineStr">
        <is>
          <t>Weighted Score</t>
        </is>
      </c>
      <c r="F48" s="8" t="inlineStr">
        <is>
          <t>Notes</t>
        </is>
      </c>
    </row>
    <row r="49">
      <c r="A49" t="inlineStr">
        <is>
          <t>Market Disruption</t>
        </is>
      </c>
      <c r="B49" t="inlineStr"/>
      <c r="C49" t="inlineStr"/>
      <c r="D49" t="inlineStr">
        <is>
          <t>35%</t>
        </is>
      </c>
      <c r="E49">
        <f>C49*0.35</f>
        <v/>
      </c>
      <c r="F49" t="inlineStr">
        <is>
          <t>Attacking $100B+=100, New category=95, Share gains=85, Niche=70</t>
        </is>
      </c>
    </row>
    <row r="50">
      <c r="A50" t="inlineStr">
        <is>
          <t>Technology Moat</t>
        </is>
      </c>
      <c r="B50" t="inlineStr"/>
      <c r="C50" t="inlineStr"/>
      <c r="D50" t="inlineStr">
        <is>
          <t>25%</t>
        </is>
      </c>
      <c r="E50">
        <f>C50*0.25</f>
        <v/>
      </c>
      <c r="F50" t="inlineStr">
        <is>
          <t>Base 50 + Proprietary AI=+30, Patents=+25, Data=+25, Supply chain=+25</t>
        </is>
      </c>
    </row>
    <row r="51">
      <c r="A51" t="inlineStr">
        <is>
          <t>Competitive Dynamics</t>
        </is>
      </c>
      <c r="B51" t="inlineStr"/>
      <c r="C51" t="inlineStr"/>
      <c r="D51" t="inlineStr">
        <is>
          <t>25%</t>
        </is>
      </c>
      <c r="E51">
        <f>C51*0.25</f>
        <v/>
      </c>
      <c r="F51" t="inlineStr">
        <is>
          <t>Winner-take-most=100, Oligopoly=80, Differentiated=60, Crowded=40</t>
        </is>
      </c>
    </row>
    <row r="52">
      <c r="A52" t="inlineStr">
        <is>
          <t>Catalyst Pipeline</t>
        </is>
      </c>
      <c r="B52" t="inlineStr"/>
      <c r="C52" t="inlineStr"/>
      <c r="D52" t="inlineStr">
        <is>
          <t>15%</t>
        </is>
      </c>
      <c r="E52">
        <f>C52*0.15</f>
        <v/>
      </c>
      <c r="F52" t="inlineStr">
        <is>
          <t>Base 50 + Launch=+30, Partnership=+25, Regulatory=+30, M&amp;A target=+20</t>
        </is>
      </c>
    </row>
    <row r="53">
      <c r="A53" s="4" t="inlineStr">
        <is>
          <t>DISRUPTION POTENTIAL SCORE TOTAL</t>
        </is>
      </c>
      <c r="C53">
        <f>AVERAGE(C49:C52)</f>
        <v/>
      </c>
      <c r="E53" s="9">
        <f>SUM(E49:E52)</f>
        <v/>
      </c>
    </row>
    <row r="55">
      <c r="A55" s="10" t="inlineStr">
        <is>
          <t>COMPOSITE SCORE</t>
        </is>
      </c>
      <c r="C55" s="11">
        <f>E18+E26+E37+E45+E53</f>
        <v/>
      </c>
    </row>
    <row r="56">
      <c r="A56" s="4" t="inlineStr">
        <is>
          <t>RATING</t>
        </is>
      </c>
      <c r="C56" s="12">
        <f>IF(C55&gt;=80,"Strong Buy",IF(C55&gt;=70,"Buy",IF(C55&gt;=60,"Hold","Sell")))</f>
        <v/>
      </c>
    </row>
    <row r="57">
      <c r="A57" s="4" t="inlineStr">
        <is>
          <t>Score Buffer vs Min (70)</t>
        </is>
      </c>
      <c r="C57" s="13">
        <f>C55-70</f>
        <v/>
      </c>
    </row>
    <row r="59">
      <c r="A59" s="10" t="inlineStr">
        <is>
          <t>POSITION SIZING</t>
        </is>
      </c>
    </row>
    <row r="60">
      <c r="A60" s="4" t="inlineStr">
        <is>
          <t>Target Position %</t>
        </is>
      </c>
      <c r="C60" s="14">
        <f>(3%*C55/100)/(1+(B9-1)*1.5)</f>
        <v/>
      </c>
    </row>
    <row r="61">
      <c r="A61" s="4" t="inlineStr">
        <is>
          <t>Portfolio Value ($)</t>
        </is>
      </c>
      <c r="B61" s="15" t="n">
        <v>100000</v>
      </c>
    </row>
    <row r="62">
      <c r="A62" s="4" t="inlineStr">
        <is>
          <t>Target Dollar Amount</t>
        </is>
      </c>
      <c r="C62" s="15">
        <f>C60*B61</f>
        <v/>
      </c>
    </row>
    <row r="63">
      <c r="A63" s="4" t="inlineStr">
        <is>
          <t>Current Position Value</t>
        </is>
      </c>
      <c r="B63" s="15" t="inlineStr"/>
    </row>
    <row r="64">
      <c r="A64" s="4" t="inlineStr">
        <is>
          <t>Current Position %</t>
        </is>
      </c>
      <c r="C64" s="14">
        <f>IF(B61&gt;0,B63/B61,0)</f>
        <v/>
      </c>
    </row>
    <row r="65">
      <c r="A65" s="4" t="inlineStr">
        <is>
          <t>Drift %</t>
        </is>
      </c>
      <c r="C65" s="14">
        <f>IF(C60&gt;0,(C64-C60)/C60,0)</f>
        <v/>
      </c>
    </row>
    <row r="66">
      <c r="A66" s="4" t="inlineStr">
        <is>
          <t>Action</t>
        </is>
      </c>
      <c r="C66" s="4">
        <f>IF(C65&gt;0.10,"TRIM",IF(AND(C65&lt;-0.10,C55&gt;=70+8),"ADD IF STRONG","HOLD"))</f>
        <v/>
      </c>
    </row>
  </sheetData>
  <mergeCells count="11">
    <mergeCell ref="A4:B4"/>
    <mergeCell ref="A2:F2"/>
    <mergeCell ref="A11:F11"/>
    <mergeCell ref="A47:F47"/>
    <mergeCell ref="A28:F28"/>
    <mergeCell ref="A59:B59"/>
    <mergeCell ref="A13:F13"/>
    <mergeCell ref="A1:F1"/>
    <mergeCell ref="A20:F20"/>
    <mergeCell ref="A39:F39"/>
    <mergeCell ref="A55:B55"/>
  </mergeCells>
  <conditionalFormatting sqref="C57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2025-10-28T18:19:09Z</dcterms:created>
  <dcterms:modified xsi:type="dcterms:W3CDTF">2025-10-28T18:19:09Z</dcterms:modified>
</cp:coreProperties>
</file>